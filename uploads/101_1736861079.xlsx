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YS\Desktop\DIFFERENT DOC\diff doc\KUMBI 2025\"/>
    </mc:Choice>
  </mc:AlternateContent>
  <xr:revisionPtr revIDLastSave="0" documentId="13_ncr:1_{CB2BE144-2C24-44F5-B2E3-649571D06462}" xr6:coauthVersionLast="47" xr6:coauthVersionMax="47" xr10:uidLastSave="{00000000-0000-0000-0000-000000000000}"/>
  <bookViews>
    <workbookView xWindow="-120" yWindow="-120" windowWidth="20730" windowHeight="11160" tabRatio="656" xr2:uid="{00000000-000D-0000-FFFF-FFFF00000000}"/>
  </bookViews>
  <sheets>
    <sheet name="summary" sheetId="18" r:id="rId1"/>
    <sheet name="EpSE Report" sheetId="1" r:id="rId2"/>
    <sheet name="Gesuba(Welaita)" sheetId="2" r:id="rId3"/>
    <sheet name="Metu(Elibabora)" sheetId="3" r:id="rId4"/>
    <sheet name="Leha(Gofa)" sheetId="4" r:id="rId5"/>
    <sheet name="Mito(Silta)" sheetId="5" r:id="rId6"/>
    <sheet name="Batu(Coustic Soda)" sheetId="6" r:id="rId7"/>
    <sheet name="Dashine(Gonder)" sheetId="7" r:id="rId8"/>
    <sheet name="Dubti(Sordo)" sheetId="8" r:id="rId9"/>
    <sheet name="Mykadra" sheetId="9" r:id="rId10"/>
    <sheet name="S.Humera" sheetId="10" r:id="rId11"/>
    <sheet name="Adebay" sheetId="11" r:id="rId12"/>
    <sheet name="Baeker" sheetId="12" r:id="rId13"/>
    <sheet name="Dansha(Wendem)" sheetId="13" r:id="rId14"/>
    <sheet name="Gonder Bikl Factory" sheetId="14" r:id="rId15"/>
    <sheet name="Deposit From  Others" sheetId="15" r:id="rId16"/>
    <sheet name="Dansha(Tegegne)" sheetId="16" r:id="rId17"/>
    <sheet name="Sheet1" sheetId="17" r:id="rId18"/>
  </sheets>
  <definedNames>
    <definedName name="_xlnm._FilterDatabase" localSheetId="1" hidden="1">'EpSE Report'!$A$100:$K$188</definedName>
    <definedName name="_xlnm.Print_Area" localSheetId="7">'Dashine(Gonder)'!$L$58:$O$68</definedName>
    <definedName name="_xlnm.Print_Area" localSheetId="1">'EpSE Report'!$A$74:$K$97</definedName>
    <definedName name="_xlnm.Print_Area" localSheetId="2">'Gesuba(Welaita)'!$A$51:$K$77</definedName>
    <definedName name="_xlnm.Print_Area" localSheetId="4">'Leha(Gofa)'!$A$58:$K$94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7" i="1" l="1"/>
  <c r="K98" i="1"/>
  <c r="M6" i="18"/>
  <c r="M7" i="18"/>
  <c r="M8" i="18"/>
  <c r="M9" i="18"/>
  <c r="M10" i="18"/>
  <c r="M11" i="18"/>
  <c r="M12" i="18"/>
  <c r="M13" i="18"/>
  <c r="M14" i="18"/>
  <c r="M15" i="18"/>
  <c r="M16" i="18"/>
  <c r="M5" i="18"/>
  <c r="M17" i="18" s="1"/>
  <c r="L16" i="18"/>
  <c r="L15" i="18"/>
  <c r="L14" i="18"/>
  <c r="L13" i="18"/>
  <c r="L12" i="18"/>
  <c r="L11" i="18"/>
  <c r="L10" i="18"/>
  <c r="L9" i="18"/>
  <c r="L8" i="18"/>
  <c r="L7" i="18"/>
  <c r="L6" i="18"/>
  <c r="L5" i="18"/>
  <c r="I5" i="18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17" i="18" l="1"/>
  <c r="M197" i="1"/>
  <c r="M195" i="1"/>
  <c r="M196" i="1" s="1"/>
  <c r="K181" i="1"/>
  <c r="K182" i="1"/>
  <c r="K183" i="1"/>
  <c r="L197" i="1" s="1"/>
  <c r="K184" i="1"/>
  <c r="K185" i="1"/>
  <c r="K186" i="1"/>
  <c r="K187" i="1"/>
  <c r="N176" i="1"/>
  <c r="N171" i="1"/>
  <c r="L62" i="13" l="1"/>
  <c r="K59" i="11" l="1"/>
  <c r="K67" i="5" l="1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N195" i="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58" i="11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59" i="10"/>
  <c r="AB8" i="17" l="1"/>
  <c r="M88" i="17"/>
  <c r="M87" i="17"/>
  <c r="M86" i="17"/>
  <c r="M85" i="17"/>
  <c r="M84" i="17"/>
  <c r="M83" i="17"/>
  <c r="M82" i="17"/>
  <c r="M81" i="17"/>
  <c r="M80" i="17"/>
  <c r="M79" i="17"/>
  <c r="M78" i="17"/>
  <c r="M77" i="17"/>
  <c r="M76" i="17"/>
  <c r="M75" i="17"/>
  <c r="M74" i="17"/>
  <c r="M73" i="17"/>
  <c r="M72" i="17"/>
  <c r="M71" i="17"/>
  <c r="M69" i="17"/>
  <c r="M68" i="17"/>
  <c r="M67" i="17"/>
  <c r="M66" i="17"/>
  <c r="M65" i="17"/>
  <c r="M64" i="17"/>
  <c r="M63" i="17"/>
  <c r="M62" i="17"/>
  <c r="M61" i="17"/>
  <c r="M60" i="17"/>
  <c r="M59" i="17"/>
  <c r="M58" i="17"/>
  <c r="M57" i="17"/>
  <c r="M56" i="17"/>
  <c r="M55" i="17"/>
  <c r="M54" i="17"/>
  <c r="M53" i="17"/>
  <c r="M52" i="17"/>
  <c r="M51" i="17"/>
  <c r="M50" i="17"/>
  <c r="M49" i="17"/>
  <c r="M48" i="17"/>
  <c r="M47" i="17"/>
  <c r="M46" i="17"/>
  <c r="M45" i="17"/>
  <c r="M44" i="17"/>
  <c r="M43" i="17"/>
  <c r="M42" i="17"/>
  <c r="M41" i="17"/>
  <c r="M40" i="17"/>
  <c r="M39" i="17"/>
  <c r="M38" i="17"/>
  <c r="M37" i="17"/>
  <c r="M36" i="17"/>
  <c r="M35" i="17"/>
  <c r="M34" i="17"/>
  <c r="M33" i="17"/>
  <c r="M32" i="17"/>
  <c r="M31" i="17"/>
  <c r="M30" i="17"/>
  <c r="M29" i="17"/>
  <c r="M28" i="17"/>
  <c r="M27" i="17"/>
  <c r="M26" i="17"/>
  <c r="M25" i="17"/>
  <c r="M24" i="17"/>
  <c r="M23" i="17"/>
  <c r="M22" i="17"/>
  <c r="M21" i="17"/>
  <c r="M20" i="17"/>
  <c r="M19" i="17"/>
  <c r="M18" i="17"/>
  <c r="M17" i="17"/>
  <c r="M16" i="17"/>
  <c r="M15" i="17"/>
  <c r="M14" i="17"/>
  <c r="M13" i="17"/>
  <c r="M12" i="17"/>
  <c r="M11" i="17"/>
  <c r="M10" i="17"/>
  <c r="M9" i="17"/>
  <c r="M8" i="17"/>
  <c r="M89" i="17" s="1"/>
  <c r="K62" i="12" l="1"/>
  <c r="K63" i="12"/>
  <c r="K61" i="12"/>
  <c r="K159" i="1" l="1"/>
  <c r="K160" i="1"/>
  <c r="L86" i="16" l="1"/>
  <c r="L92" i="16" s="1"/>
  <c r="L47" i="16"/>
  <c r="L94" i="16" l="1"/>
  <c r="L61" i="13" l="1"/>
  <c r="K155" i="1"/>
  <c r="K156" i="1"/>
  <c r="K157" i="1"/>
  <c r="K158" i="1"/>
  <c r="K161" i="1"/>
  <c r="K162" i="1"/>
  <c r="K163" i="1"/>
  <c r="K164" i="1"/>
  <c r="K165" i="1"/>
  <c r="K167" i="1"/>
  <c r="K168" i="1"/>
  <c r="K169" i="1"/>
  <c r="K170" i="1"/>
  <c r="K171" i="1"/>
  <c r="N173" i="1" s="1"/>
  <c r="K172" i="1"/>
  <c r="K173" i="1"/>
  <c r="K174" i="1"/>
  <c r="K150" i="1"/>
  <c r="M60" i="15"/>
  <c r="L60" i="13" l="1"/>
  <c r="L86" i="13" s="1"/>
  <c r="K141" i="1" l="1"/>
  <c r="K142" i="1"/>
  <c r="K143" i="1"/>
  <c r="K144" i="1"/>
  <c r="K145" i="1"/>
  <c r="K146" i="1"/>
  <c r="K147" i="1"/>
  <c r="K148" i="1"/>
  <c r="K149" i="1"/>
  <c r="K151" i="1"/>
  <c r="K152" i="1"/>
  <c r="K153" i="1"/>
  <c r="K154" i="1"/>
  <c r="K175" i="1"/>
  <c r="K176" i="1"/>
  <c r="K60" i="12" l="1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N8" i="7"/>
  <c r="N9" i="7"/>
  <c r="N6" i="7"/>
  <c r="N7" i="7"/>
  <c r="N5" i="7"/>
  <c r="N10" i="7" s="1"/>
  <c r="N19" i="7" s="1"/>
  <c r="K60" i="7"/>
  <c r="K84" i="15" l="1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50" i="15"/>
  <c r="K46" i="2"/>
  <c r="K5" i="18" s="1"/>
  <c r="K51" i="5"/>
  <c r="K8" i="18" s="1"/>
  <c r="K61" i="5"/>
  <c r="K62" i="5"/>
  <c r="K63" i="5"/>
  <c r="K64" i="5"/>
  <c r="K65" i="5"/>
  <c r="K66" i="5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51" i="3"/>
  <c r="K6" i="18" s="1"/>
  <c r="K85" i="15" l="1"/>
  <c r="K91" i="15" s="1"/>
  <c r="K93" i="15" s="1"/>
  <c r="K51" i="4"/>
  <c r="K7" i="18" s="1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59" i="14"/>
  <c r="K50" i="14"/>
  <c r="K16" i="18" s="1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59" i="12"/>
  <c r="K85" i="12" s="1"/>
  <c r="K91" i="12" s="1"/>
  <c r="K59" i="8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60" i="3"/>
  <c r="K85" i="14" l="1"/>
  <c r="K91" i="14" s="1"/>
  <c r="K93" i="14" s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77" i="1"/>
  <c r="K178" i="1"/>
  <c r="N177" i="1" s="1"/>
  <c r="N178" i="1" s="1"/>
  <c r="K179" i="1"/>
  <c r="K180" i="1"/>
  <c r="K60" i="4"/>
  <c r="K59" i="9"/>
  <c r="K60" i="5"/>
  <c r="K51" i="7"/>
  <c r="K10" i="18" s="1"/>
  <c r="K60" i="6"/>
  <c r="K51" i="6" l="1"/>
  <c r="K9" i="18" s="1"/>
  <c r="K106" i="1"/>
  <c r="L47" i="13" l="1"/>
  <c r="K15" i="18" s="1"/>
  <c r="K50" i="12"/>
  <c r="K84" i="11"/>
  <c r="K90" i="11" s="1"/>
  <c r="K50" i="11"/>
  <c r="K13" i="18" s="1"/>
  <c r="K85" i="10"/>
  <c r="K91" i="10" s="1"/>
  <c r="K47" i="10"/>
  <c r="K12" i="18" s="1"/>
  <c r="K85" i="9"/>
  <c r="K91" i="9" s="1"/>
  <c r="K47" i="9"/>
  <c r="K85" i="8"/>
  <c r="K91" i="8" s="1"/>
  <c r="K47" i="8"/>
  <c r="K11" i="18" s="1"/>
  <c r="K86" i="7"/>
  <c r="K92" i="7" s="1"/>
  <c r="K94" i="7" s="1"/>
  <c r="K86" i="6"/>
  <c r="K92" i="6" s="1"/>
  <c r="K94" i="6" s="1"/>
  <c r="K86" i="5"/>
  <c r="K89" i="5" s="1"/>
  <c r="K91" i="5" s="1"/>
  <c r="K55" i="2"/>
  <c r="N12" i="7" l="1"/>
  <c r="K98" i="7"/>
  <c r="K93" i="12"/>
  <c r="K14" i="18"/>
  <c r="K17" i="18" s="1"/>
  <c r="K92" i="11"/>
  <c r="K93" i="10"/>
  <c r="K93" i="8"/>
  <c r="K93" i="9"/>
  <c r="K86" i="4"/>
  <c r="K78" i="3"/>
  <c r="K112" i="1"/>
  <c r="K111" i="1"/>
  <c r="K110" i="1"/>
  <c r="K109" i="1"/>
  <c r="K108" i="1"/>
  <c r="K105" i="1"/>
  <c r="K104" i="1"/>
  <c r="K84" i="3" l="1"/>
  <c r="K86" i="3"/>
  <c r="K92" i="4"/>
  <c r="K94" i="4"/>
  <c r="K188" i="1"/>
  <c r="K194" i="1" s="1"/>
  <c r="K72" i="2"/>
  <c r="K77" i="2" s="1"/>
  <c r="N186" i="1" l="1"/>
  <c r="L193" i="1"/>
  <c r="N190" i="1"/>
  <c r="K75" i="2"/>
  <c r="K192" i="1"/>
  <c r="O75" i="2"/>
  <c r="L92" i="13"/>
  <c r="L94" i="13" s="1"/>
</calcChain>
</file>

<file path=xl/sharedStrings.xml><?xml version="1.0" encoding="utf-8"?>
<sst xmlns="http://schemas.openxmlformats.org/spreadsheetml/2006/main" count="2425" uniqueCount="341">
  <si>
    <t>Date</t>
  </si>
  <si>
    <t>SN</t>
  </si>
  <si>
    <t>Reference</t>
  </si>
  <si>
    <t>Receit No</t>
  </si>
  <si>
    <t>Description</t>
  </si>
  <si>
    <t>Amounts</t>
  </si>
  <si>
    <t>Advance  paid to EPSE :</t>
  </si>
  <si>
    <t>Total</t>
  </si>
  <si>
    <t>Fuel Costs -EPSE</t>
  </si>
  <si>
    <t>1.Trip on going  expected</t>
  </si>
  <si>
    <t>FDC#</t>
  </si>
  <si>
    <t>Loading
Date</t>
  </si>
  <si>
    <r>
      <t>Truck/Semi
Trailor
Plate N</t>
    </r>
    <r>
      <rPr>
        <b/>
        <u/>
        <sz val="10"/>
        <rFont val="Arial"/>
        <family val="2"/>
      </rPr>
      <t>o</t>
    </r>
  </si>
  <si>
    <t>Origin</t>
  </si>
  <si>
    <t>Destination</t>
  </si>
  <si>
    <t>Type
 of 
Product</t>
  </si>
  <si>
    <t>QTY at 20
F</t>
  </si>
  <si>
    <t>Fuel cost  Per Litrs</t>
  </si>
  <si>
    <t>Total fuel Cost Amount 
(In Birr)
(G= E*F)</t>
  </si>
  <si>
    <t xml:space="preserve">Driver's Name </t>
  </si>
  <si>
    <t xml:space="preserve">Grand Total fuels  purchase </t>
  </si>
  <si>
    <t>Remained  Advance Paid (to be paid)  to EPSE</t>
  </si>
  <si>
    <t>Advance  collected from fuel station  :</t>
  </si>
  <si>
    <t>Bank</t>
  </si>
  <si>
    <t>Awash</t>
  </si>
  <si>
    <t>CBE</t>
  </si>
  <si>
    <t xml:space="preserve">Total Advance collected </t>
  </si>
  <si>
    <t>Fuel Sales for fuel station</t>
  </si>
  <si>
    <r>
      <t>Truck/Semi
Trailor
Plate N</t>
    </r>
    <r>
      <rPr>
        <b/>
        <u/>
        <sz val="10"/>
        <color indexed="8"/>
        <rFont val="Arial"/>
        <family val="2"/>
      </rPr>
      <t>o</t>
    </r>
  </si>
  <si>
    <t>Rate Per Litrs</t>
  </si>
  <si>
    <t>Djibouti</t>
  </si>
  <si>
    <t>Gesuba(Welayta)</t>
  </si>
  <si>
    <t>AGO</t>
  </si>
  <si>
    <t>MGR</t>
  </si>
  <si>
    <t>Wedneh Bekele</t>
  </si>
  <si>
    <t>Sintayehu Esheta</t>
  </si>
  <si>
    <t>3-91450/27736</t>
  </si>
  <si>
    <t>total</t>
  </si>
  <si>
    <t xml:space="preserve">Grand Total fuels sales  </t>
  </si>
  <si>
    <t>Gesuba</t>
  </si>
  <si>
    <t>Account Receivable(Payable )</t>
  </si>
  <si>
    <t xml:space="preserve">  Gesuba</t>
  </si>
  <si>
    <t>Sintayehu Habtamu</t>
  </si>
  <si>
    <t>Djb</t>
  </si>
  <si>
    <t>Destalem Abreha</t>
  </si>
  <si>
    <t>3-71435/21297</t>
  </si>
  <si>
    <t>Mito(Silta)</t>
  </si>
  <si>
    <t>Gesuba(Welaita</t>
  </si>
  <si>
    <t>Musa Adem</t>
  </si>
  <si>
    <t>3-94462/28942</t>
  </si>
  <si>
    <t>Mykadra</t>
  </si>
  <si>
    <t>Hassen Mehamed</t>
  </si>
  <si>
    <t>3-94456/28742</t>
  </si>
  <si>
    <t>Tsehaye G/medhn</t>
  </si>
  <si>
    <t>3-93045/28723</t>
  </si>
  <si>
    <t>3-98387/29971</t>
  </si>
  <si>
    <t>Batu(Coustc</t>
  </si>
  <si>
    <t>HFO</t>
  </si>
  <si>
    <t>Transfer From the Last year</t>
  </si>
  <si>
    <t>Transfer From the last year</t>
  </si>
  <si>
    <t>Advance Collction</t>
  </si>
  <si>
    <t>Ft24197LY4T9</t>
  </si>
  <si>
    <t>FT24192SC690</t>
  </si>
  <si>
    <t>FT24199540P3</t>
  </si>
  <si>
    <t>10/07/24</t>
  </si>
  <si>
    <t>Transfer from last Year</t>
  </si>
  <si>
    <t>Transfer From Last year</t>
  </si>
  <si>
    <t>3-93601/28714</t>
  </si>
  <si>
    <t>Dashine(Berwery)</t>
  </si>
  <si>
    <t>Factory</t>
  </si>
  <si>
    <t>Transfer  From Last year</t>
  </si>
  <si>
    <t>Niguse Tadese</t>
  </si>
  <si>
    <t>3-93449/28749</t>
  </si>
  <si>
    <t>Tesfemariam Birhane</t>
  </si>
  <si>
    <t>Leha(Gofa)</t>
  </si>
  <si>
    <t>Ayalneh Asefa</t>
  </si>
  <si>
    <t>3-81046/24745</t>
  </si>
  <si>
    <t>Metu(Elibaboura</t>
  </si>
  <si>
    <t>Advance Collection</t>
  </si>
  <si>
    <t>FT24204JHQ3N</t>
  </si>
  <si>
    <t>Abysinya</t>
  </si>
  <si>
    <t>FT24204YJ4FC</t>
  </si>
  <si>
    <t>FT242048N5T1</t>
  </si>
  <si>
    <t>FT242045RG4G</t>
  </si>
  <si>
    <t>Leha(gofa)</t>
  </si>
  <si>
    <t>Transfer From Last Year</t>
  </si>
  <si>
    <t>013041164408600</t>
  </si>
  <si>
    <t>FT24206D0W4K</t>
  </si>
  <si>
    <t>FT24207W59Q3</t>
  </si>
  <si>
    <t>FT24208M5Z1K</t>
  </si>
  <si>
    <t>FT242085B3FW</t>
  </si>
  <si>
    <t>FT24208VYRZQ</t>
  </si>
  <si>
    <t>Getachew Alemshet</t>
  </si>
  <si>
    <t>3-90951/27927</t>
  </si>
  <si>
    <t xml:space="preserve">Batu(Coustic </t>
  </si>
  <si>
    <t>DubtiAfar</t>
  </si>
  <si>
    <t>Dubti(Afar)</t>
  </si>
  <si>
    <t>FT24211QLPQR</t>
  </si>
  <si>
    <t>Baeker</t>
  </si>
  <si>
    <t>Birhan</t>
  </si>
  <si>
    <t>2500570132961</t>
  </si>
  <si>
    <t>Kasahun Tona</t>
  </si>
  <si>
    <t>3-93024/28706</t>
  </si>
  <si>
    <t>124FtRQ2421400WL</t>
  </si>
  <si>
    <t>Dashine</t>
  </si>
  <si>
    <t>FT8FTRQ242140008</t>
  </si>
  <si>
    <t>Djib0uti</t>
  </si>
  <si>
    <t>New Price</t>
  </si>
  <si>
    <t>Gonder(Malte) Factory</t>
  </si>
  <si>
    <t>Donder(Bikil</t>
  </si>
  <si>
    <t>)</t>
  </si>
  <si>
    <t>Gonder bikil F</t>
  </si>
  <si>
    <t>Abay</t>
  </si>
  <si>
    <t>202FTRQ242050069</t>
  </si>
  <si>
    <t>Abebe Teka</t>
  </si>
  <si>
    <t>FT24216W1N!D</t>
  </si>
  <si>
    <t>FT24220PrBKG</t>
  </si>
  <si>
    <t>FT242185JRT9</t>
  </si>
  <si>
    <t>3012408095157684</t>
  </si>
  <si>
    <t>FT24222V6WPO</t>
  </si>
  <si>
    <t>Nigus Tadese</t>
  </si>
  <si>
    <t>EPSE Balance Report</t>
  </si>
  <si>
    <t>FT24222V3ZDQ</t>
  </si>
  <si>
    <t>FT24222RF59F</t>
  </si>
  <si>
    <t>FT24225930Z1</t>
  </si>
  <si>
    <t>Teweldebrhan Gebrezgabi</t>
  </si>
  <si>
    <t>FT242256N49B</t>
  </si>
  <si>
    <t>FT242267WCQ</t>
  </si>
  <si>
    <t>FT24226K01X5</t>
  </si>
  <si>
    <t>FT24226D5254</t>
  </si>
  <si>
    <t>FT24226P0LHP</t>
  </si>
  <si>
    <t>Weldekidan Hailu</t>
  </si>
  <si>
    <t>3-98388/29973</t>
  </si>
  <si>
    <t>Weldekidan.Hailu</t>
  </si>
  <si>
    <t>F78FTRQ2422800WK</t>
  </si>
  <si>
    <t>Dashen</t>
  </si>
  <si>
    <t>Teweldebrhan G/zgabher</t>
  </si>
  <si>
    <t xml:space="preserve">                          (mito)</t>
  </si>
  <si>
    <t>FT24232YJ8MW</t>
  </si>
  <si>
    <t>FT8FTRQ2423200WC</t>
  </si>
  <si>
    <t>124FTRQ2423200WR</t>
  </si>
  <si>
    <t>FT24234LWN5K</t>
  </si>
  <si>
    <t>FT24234YZ25V</t>
  </si>
  <si>
    <t>Advance Collection Outgoing  RTGS Advice to 1000547269989</t>
  </si>
  <si>
    <t>3012408202582143</t>
  </si>
  <si>
    <t>FT24234TINJS</t>
  </si>
  <si>
    <t>Teshome Tesfaye</t>
  </si>
  <si>
    <t>3-93434/28741</t>
  </si>
  <si>
    <t>FT24232D5H31</t>
  </si>
  <si>
    <t xml:space="preserve">                        (Gesuba/W</t>
  </si>
  <si>
    <t xml:space="preserve">Nigus Birhane </t>
  </si>
  <si>
    <t>3-89959/27428</t>
  </si>
  <si>
    <t>Awash (Epse</t>
  </si>
  <si>
    <t>FT24242DS235</t>
  </si>
  <si>
    <t>FT24242RVKXY</t>
  </si>
  <si>
    <t>Deposit From Other Componys</t>
  </si>
  <si>
    <t>panys</t>
  </si>
  <si>
    <t>FT2424265FC3</t>
  </si>
  <si>
    <t>Collected From Others(Baro Tesfaye Yideg)</t>
  </si>
  <si>
    <t>FT24242YX8KF</t>
  </si>
  <si>
    <t>Gebrezgabher Teweidebr</t>
  </si>
  <si>
    <t>Gesuba(Welaita)</t>
  </si>
  <si>
    <t>Dashen(Gonder)</t>
  </si>
  <si>
    <t>LHF</t>
  </si>
  <si>
    <t>Gebrezgabher Teweldebrhan</t>
  </si>
  <si>
    <t>LFO</t>
  </si>
  <si>
    <t>Loss</t>
  </si>
  <si>
    <t>Price</t>
  </si>
  <si>
    <t>Total  Loss in  birr</t>
  </si>
  <si>
    <t>Plate No</t>
  </si>
  <si>
    <t>3-93643</t>
  </si>
  <si>
    <t>3-93045</t>
  </si>
  <si>
    <t>3-93449</t>
  </si>
  <si>
    <t>3-90951</t>
  </si>
  <si>
    <t>3-93434</t>
  </si>
  <si>
    <t>FT8FTRQ2424600Wq</t>
  </si>
  <si>
    <t>488FTRQ2424600WT</t>
  </si>
  <si>
    <t>FT24247817R6</t>
  </si>
  <si>
    <t>FT2424X86M</t>
  </si>
  <si>
    <t>FT24247FFZ3L</t>
  </si>
  <si>
    <t>Advance Collection Outgoing  RTGS Advice to 1000628923527</t>
  </si>
  <si>
    <t>3012409026196526</t>
  </si>
  <si>
    <t>FT24246BHMY7</t>
  </si>
  <si>
    <t>FT242483EMV5</t>
  </si>
  <si>
    <t>FT242480X6PG</t>
  </si>
  <si>
    <t>FT24248MXLCS</t>
  </si>
  <si>
    <t>Endalk Kibret</t>
  </si>
  <si>
    <t>3-93865/29153</t>
  </si>
  <si>
    <t>Andualem Demoz</t>
  </si>
  <si>
    <t>3-90870/27584</t>
  </si>
  <si>
    <t>Awash (EPSE)</t>
  </si>
  <si>
    <t>FT24254Z15NG</t>
  </si>
  <si>
    <t>FT24254QKBWW</t>
  </si>
  <si>
    <t>FT24257L59PW</t>
  </si>
  <si>
    <t>FT24257GZGWH</t>
  </si>
  <si>
    <t>FT24260P2NJW</t>
  </si>
  <si>
    <t>FT24260DQFCJ</t>
  </si>
  <si>
    <t>FT242600YIWQ</t>
  </si>
  <si>
    <t>FT24263N0FV2</t>
  </si>
  <si>
    <t>3-93434/29741</t>
  </si>
  <si>
    <t>FT24265D9LX</t>
  </si>
  <si>
    <t>ast year</t>
  </si>
  <si>
    <t>Credit Transfer  from Last  year</t>
  </si>
  <si>
    <t>F78FTRQ24800Wn</t>
  </si>
  <si>
    <t>124FTRQ2426900WL</t>
  </si>
  <si>
    <t>FT24269TVC6X</t>
  </si>
  <si>
    <t>FT242696WMZX</t>
  </si>
  <si>
    <t>FT24269DXLKT</t>
  </si>
  <si>
    <t>FT24269HGWC2</t>
  </si>
  <si>
    <t>FT24270JPHS4</t>
  </si>
  <si>
    <t>FT2427HH145J</t>
  </si>
  <si>
    <t>Teweidebrhan G/zgabher</t>
  </si>
  <si>
    <t>FT242763YLBF</t>
  </si>
  <si>
    <t>FT24276HMXL5</t>
  </si>
  <si>
    <t>Advance Collction Customer</t>
  </si>
  <si>
    <t>FT2427745G29</t>
  </si>
  <si>
    <t>FT242779Z5YP</t>
  </si>
  <si>
    <t>FT24277YFJOW</t>
  </si>
  <si>
    <t>FT24277SG93V</t>
  </si>
  <si>
    <t>FT24276PD8TO</t>
  </si>
  <si>
    <t>FT24278DJXFM</t>
  </si>
  <si>
    <t>Dansha</t>
  </si>
  <si>
    <t>Dashne(Gonder)</t>
  </si>
  <si>
    <t>Brhan</t>
  </si>
  <si>
    <t>124FTRQ24283000K</t>
  </si>
  <si>
    <t>Through A.A</t>
  </si>
  <si>
    <t>Through  Weldya</t>
  </si>
  <si>
    <t>FT24284186F6</t>
  </si>
  <si>
    <t>FT24284SSNNX</t>
  </si>
  <si>
    <t>FT24284MGDXK</t>
  </si>
  <si>
    <t>FT24290T94S6</t>
  </si>
  <si>
    <t>FT24288MTYY6</t>
  </si>
  <si>
    <t>FT24291M57Q3</t>
  </si>
  <si>
    <t>Destealem Abreha</t>
  </si>
  <si>
    <t>Birhane G/ezgabher</t>
  </si>
  <si>
    <t>3-93573/28711</t>
  </si>
  <si>
    <t>FT2429163WXL</t>
  </si>
  <si>
    <t>FT24295FLJXY</t>
  </si>
  <si>
    <t>FT2428420KWB</t>
  </si>
  <si>
    <t>849FTRQ242950000</t>
  </si>
  <si>
    <t>Ft24295NY43V</t>
  </si>
  <si>
    <t>124FTRQ2429500WW</t>
  </si>
  <si>
    <t>FT24295XJZ8K</t>
  </si>
  <si>
    <t>FT243051DWQO</t>
  </si>
  <si>
    <t>Endalk Kbret</t>
  </si>
  <si>
    <t>Dansha(Wendem</t>
  </si>
  <si>
    <t>Advance Collection Diller</t>
  </si>
  <si>
    <t>FT24278764RP</t>
  </si>
  <si>
    <t>Abyssinya</t>
  </si>
  <si>
    <t>FT24310NOJ9K</t>
  </si>
  <si>
    <t>FT8FTRQ2428500WH</t>
  </si>
  <si>
    <t>FT8FTRQ24310000U</t>
  </si>
  <si>
    <t>FT8FTRQ242830007</t>
  </si>
  <si>
    <t>FT8FTRQ24310000D</t>
  </si>
  <si>
    <t>124FTRQ2431100WJ</t>
  </si>
  <si>
    <t>Dansha(Wendem)</t>
  </si>
  <si>
    <t>FT24311XBZDB</t>
  </si>
  <si>
    <t>FT24312/5QRGV</t>
  </si>
  <si>
    <t>FT2430928P4</t>
  </si>
  <si>
    <t>FT243130XSSM</t>
  </si>
  <si>
    <t>FT24313QP6DB</t>
  </si>
  <si>
    <t>FT243130TQF7</t>
  </si>
  <si>
    <t xml:space="preserve">Transfer from Last </t>
  </si>
  <si>
    <t>900 Fuel +50,000.00</t>
  </si>
  <si>
    <t>Abel</t>
  </si>
  <si>
    <t>to Kumbi</t>
  </si>
  <si>
    <t>336,120 to Kumbi</t>
  </si>
  <si>
    <t>Adebay</t>
  </si>
  <si>
    <t>Temesgen</t>
  </si>
  <si>
    <t>Yideg</t>
  </si>
  <si>
    <t>106412112416321988020</t>
  </si>
  <si>
    <t>106111211697191186117</t>
  </si>
  <si>
    <t>1731483783117173489</t>
  </si>
  <si>
    <t>FT2432OR8TS8</t>
  </si>
  <si>
    <t>F78FTRQ24321000E</t>
  </si>
  <si>
    <t>124FTRQ243230003</t>
  </si>
  <si>
    <t>Welaita Sodo (Depot)</t>
  </si>
  <si>
    <t>FT24323288ZK</t>
  </si>
  <si>
    <t>KOT/1031/2024</t>
  </si>
  <si>
    <t>Advance Collection From Dilers</t>
  </si>
  <si>
    <t>FT24323TH1GF</t>
  </si>
  <si>
    <t>FT24327M8D32</t>
  </si>
  <si>
    <t>KOT/1037/2024</t>
  </si>
  <si>
    <t>FT24327B9HML</t>
  </si>
  <si>
    <t>S.Humera</t>
  </si>
  <si>
    <t>Tsegay</t>
  </si>
  <si>
    <t>FT24325KYHBH</t>
  </si>
  <si>
    <t>FT2432546GTW</t>
  </si>
  <si>
    <t>FT24331QD326</t>
  </si>
  <si>
    <t>FT24331VK1P7</t>
  </si>
  <si>
    <t>FT24334CP26X</t>
  </si>
  <si>
    <t>FT24334G1JVS</t>
  </si>
  <si>
    <t>FT243340X9WP</t>
  </si>
  <si>
    <t>K.O.T/1045/2024</t>
  </si>
  <si>
    <t>FT24334GX1WW</t>
  </si>
  <si>
    <t>Birhane/Gebrezgabher</t>
  </si>
  <si>
    <t>FT24339QSK5B</t>
  </si>
  <si>
    <t xml:space="preserve"> NP.K.O.T /1048/2024</t>
  </si>
  <si>
    <t>3-94462/27927</t>
  </si>
  <si>
    <t>Advance Collected From Diler</t>
  </si>
  <si>
    <t>Berhan</t>
  </si>
  <si>
    <t>FT243409Y872</t>
  </si>
  <si>
    <t>FT24340D30YH</t>
  </si>
  <si>
    <t>FT243403GZ8D</t>
  </si>
  <si>
    <t>FT24340RSMB4</t>
  </si>
  <si>
    <t>FT2434031GRT</t>
  </si>
  <si>
    <t>EPSE Balance</t>
  </si>
  <si>
    <t>Diference</t>
  </si>
  <si>
    <t>FT2433KIL5GUAY</t>
  </si>
  <si>
    <t>FT2434100DX7</t>
  </si>
  <si>
    <t>metu(Elibabora)</t>
  </si>
  <si>
    <t>Batu(Coustic)</t>
  </si>
  <si>
    <t>DashenGonder)</t>
  </si>
  <si>
    <t>Dubti(Sordo)</t>
  </si>
  <si>
    <t>Gonder Bikl Factory</t>
  </si>
  <si>
    <t>FT8FTRQ2434500WW</t>
  </si>
  <si>
    <t>FT24346L2FMW</t>
  </si>
  <si>
    <t>FT24348Y7XYC</t>
  </si>
  <si>
    <t>FT24349TGMGB</t>
  </si>
  <si>
    <t>FT24349ZNWNT</t>
  </si>
  <si>
    <t>FT8FTRQ243510015</t>
  </si>
  <si>
    <t>649FTRQ2435200WU</t>
  </si>
  <si>
    <t>FT243535GD4J</t>
  </si>
  <si>
    <t>FT24348ZX59M</t>
  </si>
  <si>
    <t>FT24360REBST</t>
  </si>
  <si>
    <t>FT24360/24824</t>
  </si>
  <si>
    <t>FT24361P3X32</t>
  </si>
  <si>
    <t>FT24361FFPZF</t>
  </si>
  <si>
    <t>NB</t>
  </si>
  <si>
    <t>Fuel From Station</t>
  </si>
  <si>
    <t>to Sintayehu</t>
  </si>
  <si>
    <t>FT243657VRLB</t>
  </si>
  <si>
    <t>FT24330LGTWG</t>
  </si>
  <si>
    <t>FT243486R7DN</t>
  </si>
  <si>
    <t>FT24355FJSXB</t>
  </si>
  <si>
    <t>Ft250011Vc0Z</t>
  </si>
  <si>
    <t>collection</t>
  </si>
  <si>
    <t>loaded</t>
  </si>
  <si>
    <t>difference</t>
  </si>
  <si>
    <t>fuel stations</t>
  </si>
  <si>
    <t>fuel station in 2017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</si>
</sst>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0;\-#,##0.00;* ??"/>
    <numFmt numFmtId="165" formatCode="m\/d\/yy"/>
    <numFmt numFmtId="166" formatCode="_(* #,##0_);_(* \(#,##0\);_(* &quot;-&quot;??_);_(@_)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sz val="9"/>
      <name val="Arial"/>
      <family val="2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u/>
      <sz val="11"/>
      <color theme="10"/>
      <name val="Calibri"/>
      <family val="2"/>
    </font>
    <font>
      <sz val="10"/>
      <color rgb="FFFF0000"/>
      <name val="Arial"/>
      <family val="2"/>
    </font>
    <font>
      <b/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u/>
      <sz val="10"/>
      <color indexed="8"/>
      <name val="Arial"/>
      <family val="2"/>
    </font>
    <font>
      <sz val="10"/>
      <color rgb="FF0070C0"/>
      <name val="Arial"/>
      <family val="2"/>
    </font>
    <font>
      <b/>
      <sz val="10"/>
      <color rgb="FFFF0000"/>
      <name val="Arial"/>
      <family val="2"/>
    </font>
    <font>
      <b/>
      <sz val="10"/>
      <color theme="0"/>
      <name val="Arial"/>
      <family val="2"/>
    </font>
    <font>
      <sz val="9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theme="0"/>
      <name val="Calibri"/>
      <family val="2"/>
      <scheme val="minor"/>
    </font>
    <font>
      <b/>
      <sz val="18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rgb="FF0061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theme="6" tint="0.59999389629810485"/>
        <bgColor indexed="65"/>
      </patternFill>
    </fill>
  </fills>
  <borders count="4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33" fillId="0" borderId="31" applyNumberFormat="0" applyFill="0" applyAlignment="0" applyProtection="0"/>
    <xf numFmtId="0" fontId="34" fillId="8" borderId="35" applyNumberFormat="0" applyAlignment="0" applyProtection="0"/>
    <xf numFmtId="0" fontId="36" fillId="0" borderId="0" applyNumberFormat="0" applyFill="0" applyBorder="0" applyAlignment="0" applyProtection="0"/>
    <xf numFmtId="0" fontId="37" fillId="9" borderId="0" applyNumberFormat="0" applyBorder="0" applyAlignment="0" applyProtection="0"/>
    <xf numFmtId="0" fontId="37" fillId="10" borderId="0" applyNumberFormat="0" applyBorder="0" applyAlignment="0" applyProtection="0"/>
    <xf numFmtId="0" fontId="1" fillId="11" borderId="38" applyNumberFormat="0" applyFont="0" applyAlignment="0" applyProtection="0"/>
    <xf numFmtId="0" fontId="1" fillId="12" borderId="0" applyNumberFormat="0" applyBorder="0" applyAlignment="0" applyProtection="0"/>
    <xf numFmtId="0" fontId="41" fillId="0" borderId="33" applyNumberFormat="0" applyFill="0" applyAlignment="0" applyProtection="0"/>
  </cellStyleXfs>
  <cellXfs count="274">
    <xf numFmtId="0" fontId="0" fillId="0" borderId="0" xfId="0"/>
    <xf numFmtId="0" fontId="5" fillId="0" borderId="0" xfId="0" applyFont="1" applyAlignment="1">
      <alignment horizontal="left"/>
    </xf>
    <xf numFmtId="0" fontId="6" fillId="0" borderId="0" xfId="0" applyFont="1"/>
    <xf numFmtId="0" fontId="7" fillId="4" borderId="0" xfId="0" applyFont="1" applyFill="1"/>
    <xf numFmtId="0" fontId="6" fillId="4" borderId="0" xfId="0" applyFont="1" applyFill="1"/>
    <xf numFmtId="0" fontId="6" fillId="0" borderId="0" xfId="0" applyFont="1" applyAlignment="1">
      <alignment horizontal="center"/>
    </xf>
    <xf numFmtId="49" fontId="5" fillId="0" borderId="0" xfId="0" applyNumberFormat="1" applyFont="1"/>
    <xf numFmtId="0" fontId="6" fillId="5" borderId="0" xfId="0" applyFont="1" applyFill="1"/>
    <xf numFmtId="0" fontId="5" fillId="5" borderId="0" xfId="0" applyFont="1" applyFill="1"/>
    <xf numFmtId="43" fontId="5" fillId="5" borderId="0" xfId="0" applyNumberFormat="1" applyFont="1" applyFill="1" applyAlignment="1">
      <alignment horizontal="center"/>
    </xf>
    <xf numFmtId="0" fontId="6" fillId="5" borderId="0" xfId="0" applyFont="1" applyFill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43" fontId="6" fillId="0" borderId="2" xfId="1" applyFont="1" applyBorder="1"/>
    <xf numFmtId="0" fontId="5" fillId="0" borderId="0" xfId="0" applyFont="1"/>
    <xf numFmtId="49" fontId="10" fillId="0" borderId="4" xfId="0" applyNumberFormat="1" applyFont="1" applyBorder="1" applyAlignment="1">
      <alignment horizontal="left"/>
    </xf>
    <xf numFmtId="49" fontId="10" fillId="0" borderId="2" xfId="0" applyNumberFormat="1" applyFont="1" applyBorder="1" applyAlignment="1">
      <alignment horizontal="left"/>
    </xf>
    <xf numFmtId="0" fontId="6" fillId="0" borderId="4" xfId="0" applyFont="1" applyBorder="1"/>
    <xf numFmtId="164" fontId="10" fillId="0" borderId="4" xfId="0" applyNumberFormat="1" applyFont="1" applyBorder="1"/>
    <xf numFmtId="0" fontId="6" fillId="0" borderId="4" xfId="0" applyFont="1" applyBorder="1" applyAlignment="1">
      <alignment horizontal="center"/>
    </xf>
    <xf numFmtId="43" fontId="6" fillId="0" borderId="2" xfId="1" applyFont="1" applyBorder="1" applyAlignment="1">
      <alignment horizontal="left"/>
    </xf>
    <xf numFmtId="49" fontId="6" fillId="0" borderId="0" xfId="0" applyNumberFormat="1" applyFont="1"/>
    <xf numFmtId="49" fontId="10" fillId="0" borderId="6" xfId="0" applyNumberFormat="1" applyFont="1" applyBorder="1" applyAlignment="1">
      <alignment horizontal="left"/>
    </xf>
    <xf numFmtId="0" fontId="6" fillId="0" borderId="6" xfId="0" applyFont="1" applyBorder="1"/>
    <xf numFmtId="0" fontId="6" fillId="0" borderId="6" xfId="0" applyFont="1" applyBorder="1" applyAlignment="1">
      <alignment horizontal="center"/>
    </xf>
    <xf numFmtId="14" fontId="11" fillId="0" borderId="2" xfId="0" applyNumberFormat="1" applyFont="1" applyBorder="1" applyAlignment="1">
      <alignment horizontal="center"/>
    </xf>
    <xf numFmtId="14" fontId="11" fillId="0" borderId="2" xfId="0" applyNumberFormat="1" applyFont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4" xfId="0" applyFont="1" applyFill="1" applyBorder="1" applyAlignment="1">
      <alignment horizontal="center"/>
    </xf>
    <xf numFmtId="164" fontId="5" fillId="5" borderId="2" xfId="0" applyNumberFormat="1" applyFont="1" applyFill="1" applyBorder="1"/>
    <xf numFmtId="0" fontId="12" fillId="0" borderId="0" xfId="0" applyFont="1"/>
    <xf numFmtId="0" fontId="13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6" borderId="7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/>
    </xf>
    <xf numFmtId="0" fontId="16" fillId="6" borderId="8" xfId="0" applyFont="1" applyFill="1" applyBorder="1" applyAlignment="1">
      <alignment vertical="center"/>
    </xf>
    <xf numFmtId="0" fontId="17" fillId="6" borderId="9" xfId="4" applyFont="1" applyFill="1" applyBorder="1" applyAlignment="1" applyProtection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11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vertical="center"/>
    </xf>
    <xf numFmtId="0" fontId="17" fillId="6" borderId="13" xfId="4" applyFont="1" applyFill="1" applyBorder="1" applyAlignment="1" applyProtection="1">
      <alignment horizontal="center" vertical="center" wrapText="1"/>
    </xf>
    <xf numFmtId="0" fontId="16" fillId="6" borderId="14" xfId="0" applyFont="1" applyFill="1" applyBorder="1" applyAlignment="1">
      <alignment horizontal="center" vertical="center" wrapText="1"/>
    </xf>
    <xf numFmtId="0" fontId="15" fillId="0" borderId="15" xfId="0" applyFont="1" applyBorder="1"/>
    <xf numFmtId="0" fontId="15" fillId="0" borderId="2" xfId="0" applyFont="1" applyBorder="1" applyAlignment="1">
      <alignment horizontal="left"/>
    </xf>
    <xf numFmtId="14" fontId="15" fillId="0" borderId="2" xfId="0" applyNumberFormat="1" applyFont="1" applyBorder="1" applyAlignment="1">
      <alignment horizontal="center"/>
    </xf>
    <xf numFmtId="0" fontId="15" fillId="7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vertical="center"/>
    </xf>
    <xf numFmtId="0" fontId="15" fillId="0" borderId="16" xfId="0" applyFont="1" applyBorder="1"/>
    <xf numFmtId="0" fontId="15" fillId="0" borderId="2" xfId="0" applyFont="1" applyBorder="1" applyAlignment="1">
      <alignment horizontal="center"/>
    </xf>
    <xf numFmtId="43" fontId="16" fillId="7" borderId="17" xfId="1" applyFont="1" applyFill="1" applyBorder="1" applyAlignment="1">
      <alignment horizontal="center" vertical="center"/>
    </xf>
    <xf numFmtId="0" fontId="15" fillId="0" borderId="2" xfId="0" applyFont="1" applyBorder="1"/>
    <xf numFmtId="43" fontId="16" fillId="7" borderId="18" xfId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left"/>
    </xf>
    <xf numFmtId="0" fontId="16" fillId="5" borderId="19" xfId="0" applyFont="1" applyFill="1" applyBorder="1" applyAlignment="1">
      <alignment horizontal="center"/>
    </xf>
    <xf numFmtId="0" fontId="16" fillId="5" borderId="20" xfId="0" applyFont="1" applyFill="1" applyBorder="1" applyAlignment="1">
      <alignment horizontal="center"/>
    </xf>
    <xf numFmtId="0" fontId="16" fillId="5" borderId="12" xfId="0" applyFont="1" applyFill="1" applyBorder="1"/>
    <xf numFmtId="49" fontId="16" fillId="5" borderId="21" xfId="0" applyNumberFormat="1" applyFont="1" applyFill="1" applyBorder="1" applyAlignment="1">
      <alignment horizontal="center"/>
    </xf>
    <xf numFmtId="43" fontId="16" fillId="5" borderId="14" xfId="0" applyNumberFormat="1" applyFont="1" applyFill="1" applyBorder="1"/>
    <xf numFmtId="166" fontId="20" fillId="5" borderId="0" xfId="0" applyNumberFormat="1" applyFont="1" applyFill="1"/>
    <xf numFmtId="49" fontId="14" fillId="5" borderId="0" xfId="0" applyNumberFormat="1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43" fontId="14" fillId="5" borderId="0" xfId="1" applyFont="1" applyFill="1"/>
    <xf numFmtId="43" fontId="5" fillId="5" borderId="0" xfId="0" applyNumberFormat="1" applyFont="1" applyFill="1"/>
    <xf numFmtId="43" fontId="21" fillId="5" borderId="0" xfId="0" applyNumberFormat="1" applyFont="1" applyFill="1"/>
    <xf numFmtId="0" fontId="22" fillId="0" borderId="0" xfId="0" applyFont="1" applyAlignment="1">
      <alignment horizontal="left"/>
    </xf>
    <xf numFmtId="0" fontId="23" fillId="0" borderId="0" xfId="0" applyFont="1"/>
    <xf numFmtId="0" fontId="24" fillId="0" borderId="0" xfId="0" applyFont="1"/>
    <xf numFmtId="0" fontId="2" fillId="2" borderId="2" xfId="2" applyBorder="1" applyAlignment="1">
      <alignment horizontal="center"/>
    </xf>
    <xf numFmtId="0" fontId="0" fillId="0" borderId="2" xfId="0" applyBorder="1"/>
    <xf numFmtId="14" fontId="0" fillId="0" borderId="0" xfId="0" applyNumberFormat="1"/>
    <xf numFmtId="49" fontId="25" fillId="0" borderId="2" xfId="0" applyNumberFormat="1" applyFont="1" applyBorder="1" applyAlignment="1">
      <alignment horizontal="left"/>
    </xf>
    <xf numFmtId="43" fontId="1" fillId="0" borderId="2" xfId="1" applyFont="1" applyBorder="1"/>
    <xf numFmtId="0" fontId="0" fillId="0" borderId="3" xfId="0" applyBorder="1"/>
    <xf numFmtId="14" fontId="0" fillId="0" borderId="3" xfId="0" applyNumberFormat="1" applyBorder="1"/>
    <xf numFmtId="14" fontId="0" fillId="0" borderId="2" xfId="0" applyNumberFormat="1" applyBorder="1"/>
    <xf numFmtId="0" fontId="0" fillId="0" borderId="5" xfId="0" applyBorder="1"/>
    <xf numFmtId="49" fontId="25" fillId="0" borderId="2" xfId="0" applyNumberFormat="1" applyFont="1" applyBorder="1" applyAlignment="1">
      <alignment horizontal="left" wrapText="1"/>
    </xf>
    <xf numFmtId="0" fontId="0" fillId="0" borderId="22" xfId="0" applyBorder="1"/>
    <xf numFmtId="0" fontId="26" fillId="0" borderId="23" xfId="0" applyFont="1" applyBorder="1"/>
    <xf numFmtId="0" fontId="24" fillId="0" borderId="2" xfId="0" applyFont="1" applyBorder="1"/>
    <xf numFmtId="14" fontId="24" fillId="0" borderId="2" xfId="0" applyNumberFormat="1" applyFont="1" applyBorder="1"/>
    <xf numFmtId="43" fontId="24" fillId="0" borderId="2" xfId="1" applyFont="1" applyBorder="1"/>
    <xf numFmtId="0" fontId="26" fillId="0" borderId="2" xfId="0" applyFont="1" applyBorder="1"/>
    <xf numFmtId="14" fontId="27" fillId="0" borderId="2" xfId="0" applyNumberFormat="1" applyFont="1" applyBorder="1"/>
    <xf numFmtId="49" fontId="16" fillId="0" borderId="2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wrapText="1"/>
    </xf>
    <xf numFmtId="164" fontId="25" fillId="0" borderId="2" xfId="0" applyNumberFormat="1" applyFont="1" applyBorder="1" applyAlignment="1">
      <alignment horizontal="right"/>
    </xf>
    <xf numFmtId="165" fontId="27" fillId="0" borderId="2" xfId="0" applyNumberFormat="1" applyFont="1" applyBorder="1"/>
    <xf numFmtId="0" fontId="24" fillId="0" borderId="2" xfId="0" applyFont="1" applyBorder="1" applyAlignment="1">
      <alignment horizontal="center"/>
    </xf>
    <xf numFmtId="0" fontId="26" fillId="0" borderId="0" xfId="0" applyFont="1"/>
    <xf numFmtId="165" fontId="27" fillId="0" borderId="0" xfId="0" applyNumberFormat="1" applyFont="1"/>
    <xf numFmtId="49" fontId="16" fillId="0" borderId="0" xfId="0" applyNumberFormat="1" applyFont="1" applyAlignment="1">
      <alignment horizontal="left"/>
    </xf>
    <xf numFmtId="49" fontId="25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right"/>
    </xf>
    <xf numFmtId="0" fontId="4" fillId="6" borderId="0" xfId="0" applyFont="1" applyFill="1"/>
    <xf numFmtId="0" fontId="0" fillId="6" borderId="0" xfId="0" applyFill="1"/>
    <xf numFmtId="0" fontId="26" fillId="6" borderId="7" xfId="0" applyFont="1" applyFill="1" applyBorder="1" applyAlignment="1">
      <alignment horizontal="center" vertical="center"/>
    </xf>
    <xf numFmtId="0" fontId="26" fillId="6" borderId="8" xfId="0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/>
    </xf>
    <xf numFmtId="0" fontId="16" fillId="6" borderId="27" xfId="0" applyFont="1" applyFill="1" applyBorder="1" applyAlignment="1">
      <alignment horizontal="center" vertical="center" wrapText="1"/>
    </xf>
    <xf numFmtId="0" fontId="29" fillId="0" borderId="2" xfId="0" applyFont="1" applyBorder="1"/>
    <xf numFmtId="43" fontId="0" fillId="0" borderId="2" xfId="0" applyNumberFormat="1" applyBorder="1"/>
    <xf numFmtId="0" fontId="24" fillId="0" borderId="2" xfId="0" applyFont="1" applyBorder="1" applyAlignment="1">
      <alignment horizontal="left"/>
    </xf>
    <xf numFmtId="14" fontId="24" fillId="0" borderId="2" xfId="0" applyNumberFormat="1" applyFont="1" applyBorder="1" applyAlignment="1">
      <alignment horizontal="center"/>
    </xf>
    <xf numFmtId="43" fontId="30" fillId="7" borderId="2" xfId="0" applyNumberFormat="1" applyFont="1" applyFill="1" applyBorder="1" applyAlignment="1">
      <alignment horizontal="center" vertical="center"/>
    </xf>
    <xf numFmtId="0" fontId="26" fillId="5" borderId="4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2" xfId="0" applyFont="1" applyFill="1" applyBorder="1"/>
    <xf numFmtId="166" fontId="31" fillId="3" borderId="2" xfId="3" applyNumberFormat="1" applyFont="1" applyBorder="1"/>
    <xf numFmtId="49" fontId="26" fillId="5" borderId="2" xfId="0" applyNumberFormat="1" applyFont="1" applyFill="1" applyBorder="1"/>
    <xf numFmtId="43" fontId="26" fillId="5" borderId="2" xfId="0" applyNumberFormat="1" applyFont="1" applyFill="1" applyBorder="1" applyAlignment="1">
      <alignment horizontal="center" vertical="center"/>
    </xf>
    <xf numFmtId="0" fontId="16" fillId="3" borderId="1" xfId="3" applyFont="1"/>
    <xf numFmtId="0" fontId="31" fillId="3" borderId="1" xfId="3" applyFont="1"/>
    <xf numFmtId="43" fontId="15" fillId="3" borderId="1" xfId="3" applyNumberFormat="1" applyFont="1"/>
    <xf numFmtId="4" fontId="30" fillId="3" borderId="1" xfId="3" applyNumberFormat="1" applyFont="1"/>
    <xf numFmtId="0" fontId="26" fillId="0" borderId="15" xfId="0" applyFont="1" applyBorder="1"/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49" fontId="25" fillId="0" borderId="22" xfId="0" applyNumberFormat="1" applyFont="1" applyBorder="1" applyAlignment="1">
      <alignment horizontal="left"/>
    </xf>
    <xf numFmtId="2" fontId="32" fillId="0" borderId="2" xfId="1" applyNumberFormat="1" applyFont="1" applyBorder="1"/>
    <xf numFmtId="164" fontId="26" fillId="5" borderId="24" xfId="0" applyNumberFormat="1" applyFont="1" applyFill="1" applyBorder="1"/>
    <xf numFmtId="43" fontId="1" fillId="0" borderId="0" xfId="1" applyFont="1"/>
    <xf numFmtId="43" fontId="24" fillId="0" borderId="2" xfId="0" applyNumberFormat="1" applyFont="1" applyBorder="1"/>
    <xf numFmtId="0" fontId="0" fillId="0" borderId="2" xfId="0" applyBorder="1" applyAlignment="1">
      <alignment horizontal="right"/>
    </xf>
    <xf numFmtId="166" fontId="1" fillId="0" borderId="2" xfId="1" applyNumberFormat="1" applyFont="1" applyBorder="1"/>
    <xf numFmtId="0" fontId="24" fillId="7" borderId="2" xfId="0" applyFont="1" applyFill="1" applyBorder="1" applyAlignment="1">
      <alignment horizontal="center" vertical="center"/>
    </xf>
    <xf numFmtId="3" fontId="24" fillId="0" borderId="2" xfId="0" applyNumberFormat="1" applyFont="1" applyBorder="1" applyAlignment="1">
      <alignment horizontal="left"/>
    </xf>
    <xf numFmtId="0" fontId="0" fillId="0" borderId="16" xfId="0" applyBorder="1"/>
    <xf numFmtId="49" fontId="25" fillId="0" borderId="16" xfId="0" applyNumberFormat="1" applyFont="1" applyBorder="1" applyAlignment="1">
      <alignment horizontal="left"/>
    </xf>
    <xf numFmtId="43" fontId="1" fillId="0" borderId="16" xfId="1" applyFont="1" applyBorder="1"/>
    <xf numFmtId="43" fontId="0" fillId="0" borderId="2" xfId="1" applyFont="1" applyBorder="1"/>
    <xf numFmtId="0" fontId="26" fillId="0" borderId="16" xfId="0" applyFont="1" applyBorder="1"/>
    <xf numFmtId="164" fontId="26" fillId="5" borderId="2" xfId="0" applyNumberFormat="1" applyFont="1" applyFill="1" applyBorder="1"/>
    <xf numFmtId="164" fontId="26" fillId="5" borderId="30" xfId="0" applyNumberFormat="1" applyFont="1" applyFill="1" applyBorder="1"/>
    <xf numFmtId="0" fontId="2" fillId="2" borderId="2" xfId="2" applyBorder="1"/>
    <xf numFmtId="0" fontId="0" fillId="0" borderId="4" xfId="0" applyBorder="1"/>
    <xf numFmtId="49" fontId="25" fillId="0" borderId="28" xfId="0" applyNumberFormat="1" applyFont="1" applyBorder="1" applyAlignment="1">
      <alignment horizontal="left"/>
    </xf>
    <xf numFmtId="49" fontId="25" fillId="0" borderId="29" xfId="0" applyNumberFormat="1" applyFont="1" applyBorder="1" applyAlignment="1">
      <alignment horizontal="left"/>
    </xf>
    <xf numFmtId="49" fontId="25" fillId="0" borderId="23" xfId="0" applyNumberFormat="1" applyFont="1" applyBorder="1" applyAlignment="1">
      <alignment horizontal="left"/>
    </xf>
    <xf numFmtId="0" fontId="9" fillId="0" borderId="0" xfId="0" applyFont="1"/>
    <xf numFmtId="14" fontId="10" fillId="0" borderId="3" xfId="0" applyNumberFormat="1" applyFont="1" applyBorder="1" applyAlignment="1">
      <alignment horizontal="left"/>
    </xf>
    <xf numFmtId="0" fontId="0" fillId="0" borderId="28" xfId="0" applyBorder="1"/>
    <xf numFmtId="0" fontId="33" fillId="0" borderId="31" xfId="5"/>
    <xf numFmtId="0" fontId="26" fillId="0" borderId="3" xfId="0" applyFont="1" applyBorder="1"/>
    <xf numFmtId="0" fontId="26" fillId="0" borderId="32" xfId="0" applyFont="1" applyBorder="1"/>
    <xf numFmtId="0" fontId="26" fillId="6" borderId="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22" xfId="0" applyNumberFormat="1" applyBorder="1"/>
    <xf numFmtId="4" fontId="15" fillId="0" borderId="2" xfId="0" applyNumberFormat="1" applyFont="1" applyBorder="1" applyAlignment="1">
      <alignment horizontal="center"/>
    </xf>
    <xf numFmtId="4" fontId="15" fillId="0" borderId="2" xfId="1" applyNumberFormat="1" applyFont="1" applyBorder="1" applyAlignment="1">
      <alignment horizontal="center"/>
    </xf>
    <xf numFmtId="0" fontId="26" fillId="6" borderId="2" xfId="0" applyFont="1" applyFill="1" applyBorder="1"/>
    <xf numFmtId="14" fontId="0" fillId="0" borderId="16" xfId="0" applyNumberFormat="1" applyBorder="1"/>
    <xf numFmtId="0" fontId="35" fillId="0" borderId="2" xfId="0" applyFont="1" applyBorder="1"/>
    <xf numFmtId="43" fontId="35" fillId="0" borderId="2" xfId="1" applyFont="1" applyBorder="1"/>
    <xf numFmtId="0" fontId="34" fillId="8" borderId="35" xfId="6"/>
    <xf numFmtId="43" fontId="0" fillId="0" borderId="0" xfId="1" applyFont="1"/>
    <xf numFmtId="0" fontId="36" fillId="0" borderId="0" xfId="7"/>
    <xf numFmtId="0" fontId="15" fillId="7" borderId="2" xfId="0" applyFont="1" applyFill="1" applyBorder="1" applyAlignment="1">
      <alignment horizontal="right" vertical="center"/>
    </xf>
    <xf numFmtId="0" fontId="24" fillId="0" borderId="2" xfId="0" applyFont="1" applyBorder="1" applyAlignment="1">
      <alignment horizontal="right"/>
    </xf>
    <xf numFmtId="43" fontId="3" fillId="3" borderId="1" xfId="3" applyNumberFormat="1"/>
    <xf numFmtId="164" fontId="3" fillId="3" borderId="1" xfId="3" applyNumberFormat="1" applyAlignment="1">
      <alignment horizontal="right"/>
    </xf>
    <xf numFmtId="43" fontId="37" fillId="10" borderId="0" xfId="9" applyNumberFormat="1"/>
    <xf numFmtId="43" fontId="37" fillId="9" borderId="0" xfId="8" applyNumberFormat="1"/>
    <xf numFmtId="0" fontId="38" fillId="0" borderId="31" xfId="5" applyFont="1"/>
    <xf numFmtId="0" fontId="0" fillId="0" borderId="36" xfId="0" applyBorder="1"/>
    <xf numFmtId="43" fontId="0" fillId="0" borderId="0" xfId="0" applyNumberFormat="1"/>
    <xf numFmtId="43" fontId="0" fillId="0" borderId="0" xfId="1" applyFont="1" applyFill="1" applyBorder="1"/>
    <xf numFmtId="0" fontId="2" fillId="2" borderId="5" xfId="2" applyBorder="1" applyAlignment="1">
      <alignment horizontal="center"/>
    </xf>
    <xf numFmtId="49" fontId="25" fillId="0" borderId="4" xfId="0" applyNumberFormat="1" applyFont="1" applyBorder="1" applyAlignment="1">
      <alignment wrapText="1"/>
    </xf>
    <xf numFmtId="43" fontId="1" fillId="0" borderId="37" xfId="1" applyFont="1" applyBorder="1"/>
    <xf numFmtId="43" fontId="25" fillId="0" borderId="2" xfId="1" applyFont="1" applyBorder="1" applyAlignment="1">
      <alignment wrapText="1"/>
    </xf>
    <xf numFmtId="0" fontId="0" fillId="0" borderId="0" xfId="0" applyAlignment="1">
      <alignment horizontal="left"/>
    </xf>
    <xf numFmtId="0" fontId="5" fillId="11" borderId="38" xfId="10" applyFont="1" applyAlignment="1">
      <alignment horizontal="center"/>
    </xf>
    <xf numFmtId="14" fontId="5" fillId="11" borderId="38" xfId="10" applyNumberFormat="1" applyFont="1" applyAlignment="1">
      <alignment horizontal="center"/>
    </xf>
    <xf numFmtId="43" fontId="39" fillId="0" borderId="2" xfId="1" applyFont="1" applyBorder="1"/>
    <xf numFmtId="49" fontId="10" fillId="0" borderId="0" xfId="0" applyNumberFormat="1" applyFont="1" applyAlignment="1">
      <alignment horizontal="left"/>
    </xf>
    <xf numFmtId="43" fontId="6" fillId="0" borderId="5" xfId="1" applyFont="1" applyFill="1" applyBorder="1" applyAlignment="1">
      <alignment horizontal="left"/>
    </xf>
    <xf numFmtId="43" fontId="24" fillId="0" borderId="0" xfId="0" applyNumberFormat="1" applyFont="1"/>
    <xf numFmtId="43" fontId="0" fillId="6" borderId="0" xfId="0" applyNumberFormat="1" applyFill="1"/>
    <xf numFmtId="43" fontId="0" fillId="0" borderId="0" xfId="1" applyFont="1" applyBorder="1"/>
    <xf numFmtId="0" fontId="2" fillId="2" borderId="37" xfId="2" applyBorder="1" applyAlignment="1">
      <alignment horizontal="center"/>
    </xf>
    <xf numFmtId="0" fontId="40" fillId="0" borderId="0" xfId="0" applyFont="1"/>
    <xf numFmtId="14" fontId="24" fillId="0" borderId="0" xfId="0" applyNumberFormat="1" applyFont="1"/>
    <xf numFmtId="0" fontId="0" fillId="0" borderId="2" xfId="0" applyBorder="1" applyAlignment="1">
      <alignment horizontal="left"/>
    </xf>
    <xf numFmtId="0" fontId="26" fillId="5" borderId="39" xfId="0" applyFont="1" applyFill="1" applyBorder="1" applyAlignment="1">
      <alignment horizontal="left"/>
    </xf>
    <xf numFmtId="0" fontId="26" fillId="5" borderId="0" xfId="0" applyFont="1" applyFill="1" applyAlignment="1">
      <alignment horizontal="left"/>
    </xf>
    <xf numFmtId="0" fontId="26" fillId="5" borderId="36" xfId="0" applyFont="1" applyFill="1" applyBorder="1" applyAlignment="1">
      <alignment horizontal="left"/>
    </xf>
    <xf numFmtId="164" fontId="26" fillId="5" borderId="5" xfId="0" applyNumberFormat="1" applyFont="1" applyFill="1" applyBorder="1"/>
    <xf numFmtId="0" fontId="15" fillId="0" borderId="40" xfId="0" applyFont="1" applyBorder="1"/>
    <xf numFmtId="0" fontId="15" fillId="0" borderId="41" xfId="0" applyFont="1" applyBorder="1"/>
    <xf numFmtId="0" fontId="5" fillId="0" borderId="42" xfId="0" applyFont="1" applyBorder="1" applyAlignment="1">
      <alignment horizontal="left"/>
    </xf>
    <xf numFmtId="0" fontId="16" fillId="6" borderId="0" xfId="0" applyFont="1" applyFill="1" applyAlignment="1">
      <alignment horizontal="center" vertical="center" wrapText="1"/>
    </xf>
    <xf numFmtId="43" fontId="16" fillId="7" borderId="0" xfId="1" applyFont="1" applyFill="1" applyBorder="1" applyAlignment="1">
      <alignment horizontal="center" vertical="center"/>
    </xf>
    <xf numFmtId="43" fontId="16" fillId="5" borderId="0" xfId="0" applyNumberFormat="1" applyFont="1" applyFill="1"/>
    <xf numFmtId="1" fontId="24" fillId="0" borderId="2" xfId="0" applyNumberFormat="1" applyFont="1" applyBorder="1" applyAlignment="1">
      <alignment horizontal="left"/>
    </xf>
    <xf numFmtId="43" fontId="0" fillId="6" borderId="0" xfId="1" applyFont="1" applyFill="1"/>
    <xf numFmtId="14" fontId="0" fillId="6" borderId="0" xfId="0" applyNumberFormat="1" applyFill="1"/>
    <xf numFmtId="0" fontId="15" fillId="0" borderId="2" xfId="0" applyFont="1" applyBorder="1" applyAlignment="1">
      <alignment horizontal="right"/>
    </xf>
    <xf numFmtId="49" fontId="25" fillId="0" borderId="3" xfId="0" applyNumberFormat="1" applyFont="1" applyBorder="1" applyAlignment="1">
      <alignment horizontal="left" wrapText="1"/>
    </xf>
    <xf numFmtId="43" fontId="4" fillId="3" borderId="2" xfId="3" applyNumberFormat="1" applyFont="1" applyBorder="1"/>
    <xf numFmtId="2" fontId="0" fillId="0" borderId="0" xfId="0" applyNumberFormat="1"/>
    <xf numFmtId="0" fontId="15" fillId="7" borderId="15" xfId="0" applyFont="1" applyFill="1" applyBorder="1"/>
    <xf numFmtId="0" fontId="15" fillId="7" borderId="2" xfId="0" applyFont="1" applyFill="1" applyBorder="1" applyAlignment="1">
      <alignment horizontal="left"/>
    </xf>
    <xf numFmtId="14" fontId="15" fillId="7" borderId="2" xfId="0" applyNumberFormat="1" applyFont="1" applyFill="1" applyBorder="1" applyAlignment="1">
      <alignment horizontal="center"/>
    </xf>
    <xf numFmtId="0" fontId="15" fillId="7" borderId="16" xfId="0" applyFont="1" applyFill="1" applyBorder="1"/>
    <xf numFmtId="4" fontId="15" fillId="7" borderId="2" xfId="0" applyNumberFormat="1" applyFont="1" applyFill="1" applyBorder="1" applyAlignment="1">
      <alignment horizontal="center"/>
    </xf>
    <xf numFmtId="0" fontId="15" fillId="7" borderId="2" xfId="0" applyFont="1" applyFill="1" applyBorder="1" applyAlignment="1">
      <alignment horizontal="center"/>
    </xf>
    <xf numFmtId="0" fontId="0" fillId="7" borderId="0" xfId="0" applyFill="1"/>
    <xf numFmtId="14" fontId="32" fillId="0" borderId="2" xfId="0" applyNumberFormat="1" applyFont="1" applyBorder="1" applyAlignment="1">
      <alignment horizontal="left"/>
    </xf>
    <xf numFmtId="43" fontId="41" fillId="0" borderId="33" xfId="12" applyNumberFormat="1"/>
    <xf numFmtId="4" fontId="0" fillId="0" borderId="0" xfId="0" applyNumberFormat="1"/>
    <xf numFmtId="0" fontId="16" fillId="6" borderId="8" xfId="0" applyFont="1" applyFill="1" applyBorder="1" applyAlignment="1">
      <alignment horizontal="center" vertical="center" wrapText="1"/>
    </xf>
    <xf numFmtId="0" fontId="16" fillId="6" borderId="12" xfId="0" applyFont="1" applyFill="1" applyBorder="1" applyAlignment="1">
      <alignment horizontal="center" vertical="center" wrapText="1"/>
    </xf>
    <xf numFmtId="0" fontId="2" fillId="2" borderId="3" xfId="2" applyBorder="1" applyAlignment="1">
      <alignment horizontal="left"/>
    </xf>
    <xf numFmtId="0" fontId="2" fillId="2" borderId="4" xfId="2" applyBorder="1" applyAlignment="1">
      <alignment horizontal="left"/>
    </xf>
    <xf numFmtId="0" fontId="2" fillId="2" borderId="22" xfId="2" applyBorder="1" applyAlignment="1">
      <alignment horizontal="left"/>
    </xf>
    <xf numFmtId="49" fontId="25" fillId="0" borderId="16" xfId="0" applyNumberFormat="1" applyFont="1" applyBorder="1" applyAlignment="1">
      <alignment horizontal="left"/>
    </xf>
    <xf numFmtId="0" fontId="17" fillId="6" borderId="9" xfId="4" applyFont="1" applyFill="1" applyBorder="1" applyAlignment="1" applyProtection="1">
      <alignment horizontal="center" vertical="center" wrapText="1"/>
    </xf>
    <xf numFmtId="0" fontId="17" fillId="6" borderId="26" xfId="4" applyFont="1" applyFill="1" applyBorder="1" applyAlignment="1" applyProtection="1">
      <alignment horizontal="center" vertical="center" wrapText="1"/>
    </xf>
    <xf numFmtId="0" fontId="16" fillId="6" borderId="10" xfId="0" applyFont="1" applyFill="1" applyBorder="1" applyAlignment="1">
      <alignment horizontal="center" vertical="center" wrapText="1"/>
    </xf>
    <xf numFmtId="0" fontId="16" fillId="6" borderId="27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49" fontId="25" fillId="0" borderId="2" xfId="0" applyNumberFormat="1" applyFont="1" applyBorder="1" applyAlignment="1">
      <alignment horizontal="left"/>
    </xf>
    <xf numFmtId="49" fontId="25" fillId="0" borderId="28" xfId="0" applyNumberFormat="1" applyFont="1" applyBorder="1" applyAlignment="1">
      <alignment horizontal="left"/>
    </xf>
    <xf numFmtId="49" fontId="25" fillId="0" borderId="29" xfId="0" applyNumberFormat="1" applyFont="1" applyBorder="1" applyAlignment="1">
      <alignment horizontal="left"/>
    </xf>
    <xf numFmtId="49" fontId="25" fillId="0" borderId="23" xfId="0" applyNumberFormat="1" applyFont="1" applyBorder="1" applyAlignment="1">
      <alignment horizontal="left"/>
    </xf>
    <xf numFmtId="49" fontId="25" fillId="0" borderId="3" xfId="0" applyNumberFormat="1" applyFont="1" applyBorder="1" applyAlignment="1">
      <alignment horizontal="left"/>
    </xf>
    <xf numFmtId="49" fontId="25" fillId="0" borderId="4" xfId="0" applyNumberFormat="1" applyFont="1" applyBorder="1" applyAlignment="1">
      <alignment horizontal="left"/>
    </xf>
    <xf numFmtId="49" fontId="25" fillId="0" borderId="22" xfId="0" applyNumberFormat="1" applyFont="1" applyBorder="1" applyAlignment="1">
      <alignment horizontal="left"/>
    </xf>
    <xf numFmtId="0" fontId="26" fillId="5" borderId="2" xfId="0" applyFont="1" applyFill="1" applyBorder="1" applyAlignment="1">
      <alignment horizontal="left"/>
    </xf>
    <xf numFmtId="0" fontId="26" fillId="5" borderId="28" xfId="0" applyFont="1" applyFill="1" applyBorder="1" applyAlignment="1">
      <alignment horizontal="left"/>
    </xf>
    <xf numFmtId="0" fontId="26" fillId="5" borderId="29" xfId="0" applyFont="1" applyFill="1" applyBorder="1" applyAlignment="1">
      <alignment horizontal="left"/>
    </xf>
    <xf numFmtId="0" fontId="26" fillId="5" borderId="23" xfId="0" applyFont="1" applyFill="1" applyBorder="1" applyAlignment="1">
      <alignment horizontal="left"/>
    </xf>
    <xf numFmtId="0" fontId="26" fillId="5" borderId="3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26" fillId="5" borderId="22" xfId="0" applyFont="1" applyFill="1" applyBorder="1" applyAlignment="1">
      <alignment horizontal="center"/>
    </xf>
    <xf numFmtId="0" fontId="26" fillId="5" borderId="3" xfId="0" applyFont="1" applyFill="1" applyBorder="1" applyAlignment="1">
      <alignment horizontal="left"/>
    </xf>
    <xf numFmtId="0" fontId="26" fillId="5" borderId="4" xfId="0" applyFont="1" applyFill="1" applyBorder="1" applyAlignment="1">
      <alignment horizontal="left"/>
    </xf>
    <xf numFmtId="0" fontId="26" fillId="5" borderId="22" xfId="0" applyFont="1" applyFill="1" applyBorder="1" applyAlignment="1">
      <alignment horizontal="left"/>
    </xf>
    <xf numFmtId="0" fontId="17" fillId="6" borderId="34" xfId="4" applyFont="1" applyFill="1" applyBorder="1" applyAlignment="1" applyProtection="1">
      <alignment horizontal="center" vertical="center" wrapText="1"/>
    </xf>
    <xf numFmtId="0" fontId="16" fillId="6" borderId="17" xfId="0" applyFont="1" applyFill="1" applyBorder="1" applyAlignment="1">
      <alignment horizontal="center" vertical="center" wrapText="1"/>
    </xf>
    <xf numFmtId="0" fontId="42" fillId="2" borderId="2" xfId="2" applyFont="1" applyBorder="1" applyAlignment="1">
      <alignment horizontal="center"/>
    </xf>
    <xf numFmtId="0" fontId="42" fillId="2" borderId="2" xfId="2" applyFont="1" applyBorder="1"/>
    <xf numFmtId="0" fontId="42" fillId="2" borderId="3" xfId="2" applyFont="1" applyBorder="1" applyAlignment="1">
      <alignment horizontal="left"/>
    </xf>
    <xf numFmtId="0" fontId="42" fillId="2" borderId="4" xfId="2" applyFont="1" applyBorder="1" applyAlignment="1">
      <alignment horizontal="left"/>
    </xf>
    <xf numFmtId="0" fontId="42" fillId="2" borderId="22" xfId="2" applyFont="1" applyBorder="1" applyAlignment="1">
      <alignment horizontal="left"/>
    </xf>
    <xf numFmtId="0" fontId="43" fillId="0" borderId="0" xfId="0" applyFont="1"/>
    <xf numFmtId="43" fontId="5" fillId="0" borderId="16" xfId="1" applyFont="1" applyBorder="1" applyAlignment="1">
      <alignment horizontal="left"/>
    </xf>
    <xf numFmtId="43" fontId="8" fillId="0" borderId="16" xfId="1" applyFont="1" applyBorder="1"/>
    <xf numFmtId="43" fontId="6" fillId="0" borderId="16" xfId="1" applyFont="1" applyBorder="1"/>
    <xf numFmtId="43" fontId="6" fillId="0" borderId="16" xfId="1" applyFont="1" applyBorder="1" applyAlignment="1"/>
    <xf numFmtId="43" fontId="6" fillId="0" borderId="16" xfId="1" applyFont="1" applyBorder="1" applyAlignment="1">
      <alignment horizontal="center"/>
    </xf>
    <xf numFmtId="43" fontId="42" fillId="2" borderId="2" xfId="2" applyNumberFormat="1" applyFont="1" applyBorder="1" applyAlignment="1">
      <alignment horizontal="center"/>
    </xf>
    <xf numFmtId="0" fontId="43" fillId="0" borderId="0" xfId="0" applyFont="1" applyAlignment="1">
      <alignment horizontal="center"/>
    </xf>
    <xf numFmtId="0" fontId="35" fillId="12" borderId="2" xfId="11" applyFont="1" applyBorder="1" applyAlignment="1">
      <alignment horizontal="left"/>
    </xf>
    <xf numFmtId="14" fontId="35" fillId="12" borderId="2" xfId="11" applyNumberFormat="1" applyFont="1" applyBorder="1"/>
    <xf numFmtId="0" fontId="35" fillId="12" borderId="2" xfId="11" applyFont="1" applyBorder="1"/>
    <xf numFmtId="0" fontId="35" fillId="12" borderId="2" xfId="11" applyFont="1" applyBorder="1" applyAlignment="1">
      <alignment horizontal="center" wrapText="1"/>
    </xf>
    <xf numFmtId="0" fontId="35" fillId="12" borderId="2" xfId="11" applyFont="1" applyBorder="1" applyAlignment="1"/>
    <xf numFmtId="0" fontId="35" fillId="12" borderId="2" xfId="11" applyFont="1" applyBorder="1" applyAlignment="1">
      <alignment horizontal="center"/>
    </xf>
    <xf numFmtId="43" fontId="35" fillId="12" borderId="2" xfId="11" applyNumberFormat="1" applyFont="1" applyBorder="1" applyAlignment="1">
      <alignment horizontal="center"/>
    </xf>
    <xf numFmtId="0" fontId="44" fillId="0" borderId="5" xfId="0" applyFont="1" applyBorder="1"/>
    <xf numFmtId="0" fontId="35" fillId="0" borderId="0" xfId="0" applyFont="1"/>
    <xf numFmtId="0" fontId="26" fillId="0" borderId="2" xfId="0" applyFont="1" applyBorder="1" applyAlignment="1">
      <alignment horizontal="center"/>
    </xf>
  </cellXfs>
  <cellStyles count="13">
    <cellStyle name="40% - Accent3" xfId="11" builtinId="39"/>
    <cellStyle name="Accent3" xfId="8" builtinId="37"/>
    <cellStyle name="Accent5" xfId="9" builtinId="45"/>
    <cellStyle name="Check Cell" xfId="3" builtinId="23"/>
    <cellStyle name="Comma" xfId="1" builtinId="3"/>
    <cellStyle name="Good" xfId="2" builtinId="26"/>
    <cellStyle name="Heading 1" xfId="5" builtinId="16"/>
    <cellStyle name="Heading 3" xfId="12" builtinId="18"/>
    <cellStyle name="Hyperlink" xfId="4" builtinId="8"/>
    <cellStyle name="Input" xfId="6" builtinId="20"/>
    <cellStyle name="Normal" xfId="0" builtinId="0"/>
    <cellStyle name="Note" xfId="10" builtinId="10"/>
    <cellStyle name="Title" xfId="7" builtinId="1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17"/>
  <sheetViews>
    <sheetView tabSelected="1" workbookViewId="0">
      <selection activeCell="M11" sqref="M11:M13"/>
    </sheetView>
  </sheetViews>
  <sheetFormatPr defaultRowHeight="15" x14ac:dyDescent="0.25"/>
  <cols>
    <col min="1" max="1" width="4.42578125" customWidth="1"/>
    <col min="2" max="2" width="0.28515625" customWidth="1"/>
    <col min="3" max="3" width="9.42578125" hidden="1" customWidth="1"/>
    <col min="4" max="4" width="18.140625" customWidth="1"/>
    <col min="5" max="5" width="13" hidden="1" customWidth="1"/>
    <col min="6" max="6" width="6.42578125" hidden="1" customWidth="1"/>
    <col min="7" max="7" width="16.140625" hidden="1" customWidth="1"/>
    <col min="8" max="8" width="6.85546875" hidden="1" customWidth="1"/>
    <col min="9" max="9" width="12.42578125" hidden="1" customWidth="1"/>
    <col min="10" max="10" width="9.140625" hidden="1" customWidth="1"/>
    <col min="11" max="11" width="15.85546875" customWidth="1"/>
    <col min="12" max="12" width="16.5703125" customWidth="1"/>
    <col min="13" max="13" width="16" customWidth="1"/>
    <col min="15" max="15" width="15.5703125" customWidth="1"/>
  </cols>
  <sheetData>
    <row r="2" spans="1:13" ht="23.25" x14ac:dyDescent="0.35">
      <c r="B2" s="71"/>
      <c r="C2" s="72"/>
      <c r="D2" s="72"/>
      <c r="E2" s="72"/>
      <c r="F2" s="72"/>
      <c r="G2" s="72"/>
      <c r="H2" s="72"/>
      <c r="I2" s="72"/>
      <c r="J2" s="72"/>
      <c r="K2" s="70" t="s">
        <v>340</v>
      </c>
    </row>
    <row r="3" spans="1:13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3" s="256" customFormat="1" ht="15.75" x14ac:dyDescent="0.25">
      <c r="A4" s="251" t="s">
        <v>1</v>
      </c>
      <c r="B4" s="251" t="s">
        <v>0</v>
      </c>
      <c r="C4" s="252" t="s">
        <v>23</v>
      </c>
      <c r="D4" s="251" t="s">
        <v>339</v>
      </c>
      <c r="E4" s="253" t="s">
        <v>4</v>
      </c>
      <c r="F4" s="254"/>
      <c r="G4" s="254"/>
      <c r="H4" s="254"/>
      <c r="I4" s="254"/>
      <c r="J4" s="255"/>
      <c r="K4" s="251" t="s">
        <v>336</v>
      </c>
      <c r="L4" s="251" t="s">
        <v>337</v>
      </c>
      <c r="M4" s="251" t="s">
        <v>338</v>
      </c>
    </row>
    <row r="5" spans="1:13" x14ac:dyDescent="0.25">
      <c r="A5" s="74"/>
      <c r="B5" s="74"/>
      <c r="C5" s="74"/>
      <c r="D5" s="74" t="s">
        <v>161</v>
      </c>
      <c r="E5" s="74"/>
      <c r="F5" s="74"/>
      <c r="G5" s="74"/>
      <c r="H5" s="74"/>
      <c r="I5" s="111">
        <f>'Gesuba(Welaita)'!K72</f>
        <v>52276377.432800002</v>
      </c>
      <c r="J5" s="78"/>
      <c r="K5" s="13">
        <f>'Gesuba(Welaita)'!K46</f>
        <v>58777481.990000002</v>
      </c>
      <c r="L5" s="13">
        <f>'Gesuba(Welaita)'!K72</f>
        <v>52276377.432800002</v>
      </c>
      <c r="M5" s="13">
        <f>K5-L5</f>
        <v>6501104.5571999997</v>
      </c>
    </row>
    <row r="6" spans="1:13" x14ac:dyDescent="0.25">
      <c r="A6" s="74"/>
      <c r="B6" s="74"/>
      <c r="C6" s="74"/>
      <c r="D6" s="74" t="s">
        <v>310</v>
      </c>
      <c r="E6" s="74"/>
      <c r="F6" s="74"/>
      <c r="G6" s="74"/>
      <c r="H6" s="74"/>
      <c r="I6" s="74"/>
      <c r="J6" s="78"/>
      <c r="K6" s="13">
        <f>'Metu(Elibabora)'!K51</f>
        <v>60645926.170000002</v>
      </c>
      <c r="L6" s="13">
        <f>'Metu(Elibabora)'!K78</f>
        <v>54094780.752000004</v>
      </c>
      <c r="M6" s="13">
        <f t="shared" ref="M6:M16" si="0">K6-L6</f>
        <v>6551145.4179999977</v>
      </c>
    </row>
    <row r="7" spans="1:13" x14ac:dyDescent="0.25">
      <c r="A7" s="74"/>
      <c r="B7" s="74"/>
      <c r="C7" s="74"/>
      <c r="D7" s="74" t="s">
        <v>74</v>
      </c>
      <c r="E7" s="74"/>
      <c r="F7" s="74"/>
      <c r="G7" s="74"/>
      <c r="H7" s="74"/>
      <c r="I7" s="74"/>
      <c r="J7" s="78"/>
      <c r="K7" s="13">
        <f>'Leha(Gofa)'!K51</f>
        <v>45813228.490000002</v>
      </c>
      <c r="L7" s="13">
        <f>'Leha(Gofa)'!K86</f>
        <v>33056293.421600003</v>
      </c>
      <c r="M7" s="13">
        <f t="shared" si="0"/>
        <v>12756935.068399999</v>
      </c>
    </row>
    <row r="8" spans="1:13" x14ac:dyDescent="0.25">
      <c r="A8" s="74"/>
      <c r="B8" s="74"/>
      <c r="C8" s="74"/>
      <c r="D8" s="74" t="s">
        <v>46</v>
      </c>
      <c r="E8" s="74"/>
      <c r="F8" s="74"/>
      <c r="G8" s="74"/>
      <c r="H8" s="74"/>
      <c r="I8" s="74"/>
      <c r="J8" s="78"/>
      <c r="K8" s="13">
        <f>'Mito(Silta)'!K51</f>
        <v>35921854.640000001</v>
      </c>
      <c r="L8" s="13">
        <f>'Mito(Silta)'!K86</f>
        <v>31502507.9188</v>
      </c>
      <c r="M8" s="13">
        <f t="shared" si="0"/>
        <v>4419346.7212000005</v>
      </c>
    </row>
    <row r="9" spans="1:13" x14ac:dyDescent="0.25">
      <c r="A9" s="74"/>
      <c r="B9" s="74"/>
      <c r="C9" s="74"/>
      <c r="D9" s="74" t="s">
        <v>311</v>
      </c>
      <c r="E9" s="74"/>
      <c r="F9" s="74"/>
      <c r="G9" s="74"/>
      <c r="H9" s="74"/>
      <c r="I9" s="74"/>
      <c r="J9" s="78"/>
      <c r="K9" s="13">
        <f>'Batu(Coustic Soda)'!K51</f>
        <v>12238954.83</v>
      </c>
      <c r="L9" s="13">
        <f>'Batu(Coustic Soda)'!K86</f>
        <v>11814647.34</v>
      </c>
      <c r="M9" s="13">
        <f t="shared" si="0"/>
        <v>424307.49000000022</v>
      </c>
    </row>
    <row r="10" spans="1:13" x14ac:dyDescent="0.25">
      <c r="A10" s="74"/>
      <c r="B10" s="74"/>
      <c r="C10" s="74"/>
      <c r="D10" s="74" t="s">
        <v>312</v>
      </c>
      <c r="E10" s="74"/>
      <c r="F10" s="74"/>
      <c r="G10" s="74"/>
      <c r="H10" s="74"/>
      <c r="I10" s="74"/>
      <c r="J10" s="78"/>
      <c r="K10" s="13">
        <f>'Dashine(Gonder)'!K51</f>
        <v>34795274.090000004</v>
      </c>
      <c r="L10" s="13">
        <f>'Dashine(Gonder)'!K86</f>
        <v>26876009.530000001</v>
      </c>
      <c r="M10" s="13">
        <f t="shared" si="0"/>
        <v>7919264.5600000024</v>
      </c>
    </row>
    <row r="11" spans="1:13" x14ac:dyDescent="0.25">
      <c r="A11" s="74"/>
      <c r="B11" s="74"/>
      <c r="C11" s="74"/>
      <c r="D11" s="74" t="s">
        <v>313</v>
      </c>
      <c r="E11" s="74"/>
      <c r="F11" s="74"/>
      <c r="G11" s="74"/>
      <c r="H11" s="74"/>
      <c r="I11" s="74"/>
      <c r="J11" s="78"/>
      <c r="K11" s="13">
        <f>'Dubti(Sordo)'!K47</f>
        <v>1400000</v>
      </c>
      <c r="L11" s="13">
        <f>'Dubti(Sordo)'!K85</f>
        <v>3722989.5120000001</v>
      </c>
      <c r="M11" s="184">
        <f t="shared" si="0"/>
        <v>-2322989.5120000001</v>
      </c>
    </row>
    <row r="12" spans="1:13" x14ac:dyDescent="0.25">
      <c r="A12" s="74"/>
      <c r="B12" s="74"/>
      <c r="C12" s="74"/>
      <c r="D12" s="74" t="s">
        <v>284</v>
      </c>
      <c r="E12" s="74"/>
      <c r="F12" s="74"/>
      <c r="G12" s="74"/>
      <c r="H12" s="74"/>
      <c r="I12" s="74"/>
      <c r="J12" s="78"/>
      <c r="K12" s="13">
        <f>S.Humera!K47</f>
        <v>7000000</v>
      </c>
      <c r="L12" s="13">
        <f>S.Humera!K85</f>
        <v>8574100.2448000014</v>
      </c>
      <c r="M12" s="184">
        <f t="shared" si="0"/>
        <v>-1574100.2448000014</v>
      </c>
    </row>
    <row r="13" spans="1:13" x14ac:dyDescent="0.25">
      <c r="A13" s="74"/>
      <c r="B13" s="74"/>
      <c r="C13" s="74"/>
      <c r="D13" s="74" t="s">
        <v>267</v>
      </c>
      <c r="E13" s="74"/>
      <c r="F13" s="74"/>
      <c r="G13" s="74"/>
      <c r="H13" s="74"/>
      <c r="I13" s="74"/>
      <c r="J13" s="78"/>
      <c r="K13" s="13">
        <f>Adebay!K50</f>
        <v>8400000</v>
      </c>
      <c r="L13" s="13">
        <f>Adebay!K84</f>
        <v>8788545.2479999997</v>
      </c>
      <c r="M13" s="184">
        <f t="shared" si="0"/>
        <v>-388545.24799999967</v>
      </c>
    </row>
    <row r="14" spans="1:13" x14ac:dyDescent="0.25">
      <c r="A14" s="74"/>
      <c r="B14" s="74"/>
      <c r="C14" s="74"/>
      <c r="D14" s="74" t="s">
        <v>98</v>
      </c>
      <c r="E14" s="74"/>
      <c r="F14" s="74"/>
      <c r="G14" s="74"/>
      <c r="H14" s="74"/>
      <c r="I14" s="74"/>
      <c r="J14" s="78"/>
      <c r="K14" s="13">
        <f>Baeker!K50</f>
        <v>25300000</v>
      </c>
      <c r="L14" s="13">
        <f>Baeker!K85</f>
        <v>20055678.0984</v>
      </c>
      <c r="M14" s="13">
        <f t="shared" si="0"/>
        <v>5244321.9015999995</v>
      </c>
    </row>
    <row r="15" spans="1:13" x14ac:dyDescent="0.25">
      <c r="A15" s="74"/>
      <c r="B15" s="74"/>
      <c r="C15" s="74"/>
      <c r="D15" s="74" t="s">
        <v>255</v>
      </c>
      <c r="E15" s="74"/>
      <c r="F15" s="74"/>
      <c r="G15" s="74"/>
      <c r="H15" s="74"/>
      <c r="I15" s="74"/>
      <c r="J15" s="78"/>
      <c r="K15" s="13">
        <f>'Dansha(Wendem)'!L47</f>
        <v>17821732</v>
      </c>
      <c r="L15" s="13">
        <f>'Dansha(Wendem)'!L86</f>
        <v>17294642.0132</v>
      </c>
      <c r="M15" s="13">
        <f t="shared" si="0"/>
        <v>527089.98680000007</v>
      </c>
    </row>
    <row r="16" spans="1:13" x14ac:dyDescent="0.25">
      <c r="A16" s="74"/>
      <c r="B16" s="74"/>
      <c r="C16" s="74"/>
      <c r="D16" s="74" t="s">
        <v>314</v>
      </c>
      <c r="E16" s="74"/>
      <c r="F16" s="74"/>
      <c r="G16" s="74"/>
      <c r="H16" s="74"/>
      <c r="I16" s="74"/>
      <c r="J16" s="78"/>
      <c r="K16" s="13">
        <f>'Gonder Bikl Factory'!K50</f>
        <v>4281600</v>
      </c>
      <c r="L16" s="13">
        <f>'Gonder Bikl Factory'!K85</f>
        <v>3431987.84</v>
      </c>
      <c r="M16" s="13">
        <f t="shared" si="0"/>
        <v>849612.16000000015</v>
      </c>
    </row>
    <row r="17" spans="1:13" x14ac:dyDescent="0.25">
      <c r="A17" s="88"/>
      <c r="B17" s="89"/>
      <c r="C17" s="90"/>
      <c r="D17" s="273" t="s">
        <v>37</v>
      </c>
      <c r="E17" s="82"/>
      <c r="F17" s="82"/>
      <c r="G17" s="82"/>
      <c r="H17" s="82"/>
      <c r="I17" s="82"/>
      <c r="J17" s="208"/>
      <c r="K17" s="209">
        <f>SUM(K5:K16)</f>
        <v>312396052.21000004</v>
      </c>
      <c r="L17" s="209">
        <f t="shared" ref="L17:M17" si="1">SUM(L5:L16)</f>
        <v>271488559.35159999</v>
      </c>
      <c r="M17" s="209">
        <f t="shared" si="1"/>
        <v>40907492.858400002</v>
      </c>
    </row>
  </sheetData>
  <mergeCells count="1">
    <mergeCell ref="E4:J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05"/>
  <sheetViews>
    <sheetView topLeftCell="A181" workbookViewId="0">
      <selection activeCell="K108" sqref="K108"/>
    </sheetView>
  </sheetViews>
  <sheetFormatPr defaultRowHeight="15" x14ac:dyDescent="0.25"/>
  <cols>
    <col min="1" max="1" width="4.140625" customWidth="1"/>
    <col min="2" max="2" width="9.140625" customWidth="1"/>
    <col min="3" max="3" width="13.140625" customWidth="1"/>
    <col min="4" max="4" width="18" customWidth="1"/>
    <col min="5" max="5" width="13.42578125" customWidth="1"/>
    <col min="6" max="6" width="4.7109375" customWidth="1"/>
    <col min="7" max="7" width="15.28515625" customWidth="1"/>
    <col min="8" max="8" width="5" customWidth="1"/>
    <col min="9" max="9" width="10.28515625" bestFit="1" customWidth="1"/>
    <col min="11" max="11" width="15.85546875" customWidth="1"/>
    <col min="12" max="12" width="14.42578125" customWidth="1"/>
    <col min="13" max="13" width="14" customWidth="1"/>
    <col min="14" max="14" width="17.28515625" customWidth="1"/>
  </cols>
  <sheetData>
    <row r="2" spans="1:12" ht="26.25" x14ac:dyDescent="0.4">
      <c r="A2" s="1"/>
      <c r="B2" s="2"/>
      <c r="C2" s="2"/>
      <c r="D2" s="3" t="s">
        <v>121</v>
      </c>
      <c r="E2" s="4"/>
      <c r="F2" s="4"/>
      <c r="G2" s="4"/>
      <c r="H2" s="4"/>
      <c r="I2" s="5"/>
      <c r="J2" s="182" t="s">
        <v>0</v>
      </c>
      <c r="K2" s="183">
        <v>45481</v>
      </c>
      <c r="L2" s="6"/>
    </row>
    <row r="3" spans="1:12" x14ac:dyDescent="0.25">
      <c r="A3" s="1"/>
      <c r="B3" s="2"/>
      <c r="C3" s="2"/>
      <c r="D3" s="2"/>
      <c r="E3" s="2"/>
      <c r="F3" s="2"/>
      <c r="G3" s="2"/>
      <c r="H3" s="2"/>
      <c r="I3" s="2"/>
      <c r="J3" s="5"/>
      <c r="K3" s="5"/>
      <c r="L3" s="2"/>
    </row>
    <row r="4" spans="1:12" s="263" customFormat="1" ht="20.25" customHeight="1" x14ac:dyDescent="0.25">
      <c r="A4" s="251" t="s">
        <v>1</v>
      </c>
      <c r="B4" s="251" t="s">
        <v>0</v>
      </c>
      <c r="C4" s="251" t="s">
        <v>23</v>
      </c>
      <c r="D4" s="251" t="s">
        <v>2</v>
      </c>
      <c r="E4" s="262" t="s">
        <v>3</v>
      </c>
      <c r="F4" s="251" t="s">
        <v>4</v>
      </c>
      <c r="G4" s="251"/>
      <c r="H4" s="251"/>
      <c r="I4" s="251"/>
      <c r="J4" s="251"/>
      <c r="K4" s="251" t="s">
        <v>5</v>
      </c>
    </row>
    <row r="5" spans="1:12" s="272" customFormat="1" ht="18.75" customHeight="1" x14ac:dyDescent="0.25">
      <c r="A5" s="264"/>
      <c r="B5" s="265"/>
      <c r="C5" s="266"/>
      <c r="D5" s="267" t="s">
        <v>65</v>
      </c>
      <c r="E5" s="267"/>
      <c r="F5" s="267"/>
      <c r="G5" s="267"/>
      <c r="H5" s="268"/>
      <c r="I5" s="266"/>
      <c r="J5" s="269"/>
      <c r="K5" s="270">
        <v>7806062.2400000002</v>
      </c>
      <c r="L5" s="271"/>
    </row>
    <row r="6" spans="1:12" ht="18.75" x14ac:dyDescent="0.3">
      <c r="A6" s="257"/>
      <c r="B6" s="258"/>
      <c r="C6" s="259"/>
      <c r="D6" s="259"/>
      <c r="E6" s="149" t="s">
        <v>6</v>
      </c>
      <c r="F6" s="2"/>
      <c r="H6" s="260"/>
      <c r="I6" s="259"/>
      <c r="J6" s="261"/>
      <c r="K6" s="261"/>
      <c r="L6" s="14"/>
    </row>
    <row r="7" spans="1:12" x14ac:dyDescent="0.25">
      <c r="A7" s="11">
        <v>1</v>
      </c>
      <c r="B7" s="15" t="s">
        <v>64</v>
      </c>
      <c r="C7" s="16" t="s">
        <v>25</v>
      </c>
      <c r="D7" s="15"/>
      <c r="E7" s="15" t="s">
        <v>6</v>
      </c>
      <c r="F7" s="17"/>
      <c r="G7" s="18"/>
      <c r="H7" s="17"/>
      <c r="I7" s="19"/>
      <c r="J7" s="19"/>
      <c r="K7" s="20">
        <v>4000000</v>
      </c>
      <c r="L7" s="21"/>
    </row>
    <row r="8" spans="1:12" x14ac:dyDescent="0.25">
      <c r="A8" s="11">
        <v>2</v>
      </c>
      <c r="B8" s="15" t="s">
        <v>64</v>
      </c>
      <c r="C8" s="16" t="s">
        <v>25</v>
      </c>
      <c r="D8" s="15"/>
      <c r="E8" s="15" t="s">
        <v>6</v>
      </c>
      <c r="F8" s="17"/>
      <c r="G8" s="18"/>
      <c r="H8" s="17"/>
      <c r="I8" s="19"/>
      <c r="J8" s="19"/>
      <c r="K8" s="20">
        <v>1000000</v>
      </c>
      <c r="L8" s="21"/>
    </row>
    <row r="9" spans="1:12" x14ac:dyDescent="0.25">
      <c r="A9" s="11">
        <v>3</v>
      </c>
      <c r="B9" s="150">
        <v>45488</v>
      </c>
      <c r="C9" s="16" t="s">
        <v>25</v>
      </c>
      <c r="D9" s="22"/>
      <c r="E9" s="15" t="s">
        <v>6</v>
      </c>
      <c r="F9" s="17"/>
      <c r="G9" s="18"/>
      <c r="H9" s="23"/>
      <c r="I9" s="24"/>
      <c r="J9" s="24"/>
      <c r="K9" s="20">
        <v>500000</v>
      </c>
      <c r="L9" s="21"/>
    </row>
    <row r="10" spans="1:12" x14ac:dyDescent="0.25">
      <c r="A10" s="12">
        <v>4</v>
      </c>
      <c r="B10" s="150">
        <v>45489</v>
      </c>
      <c r="C10" s="16" t="s">
        <v>25</v>
      </c>
      <c r="D10" s="15"/>
      <c r="E10" s="15" t="s">
        <v>6</v>
      </c>
      <c r="F10" s="17"/>
      <c r="G10" s="18"/>
      <c r="H10" s="17"/>
      <c r="I10" s="19"/>
      <c r="J10" s="19"/>
      <c r="K10" s="20">
        <v>500000</v>
      </c>
      <c r="L10" s="21"/>
    </row>
    <row r="11" spans="1:12" x14ac:dyDescent="0.25">
      <c r="A11" s="11">
        <v>5</v>
      </c>
      <c r="B11" s="150">
        <v>45489</v>
      </c>
      <c r="C11" s="16" t="s">
        <v>25</v>
      </c>
      <c r="D11" s="15"/>
      <c r="E11" s="15" t="s">
        <v>6</v>
      </c>
      <c r="F11" s="17"/>
      <c r="G11" s="18"/>
      <c r="H11" s="17"/>
      <c r="I11" s="19"/>
      <c r="J11" s="19"/>
      <c r="K11" s="20">
        <v>2700000</v>
      </c>
      <c r="L11" s="21"/>
    </row>
    <row r="12" spans="1:12" x14ac:dyDescent="0.25">
      <c r="A12" s="12">
        <v>6</v>
      </c>
      <c r="B12" s="150">
        <v>45490</v>
      </c>
      <c r="C12" s="16" t="s">
        <v>25</v>
      </c>
      <c r="D12" s="15"/>
      <c r="E12" s="15" t="s">
        <v>6</v>
      </c>
      <c r="F12" s="17"/>
      <c r="G12" s="18"/>
      <c r="H12" s="17"/>
      <c r="I12" s="19"/>
      <c r="J12" s="19"/>
      <c r="K12" s="20">
        <v>4500000</v>
      </c>
      <c r="L12" s="21"/>
    </row>
    <row r="13" spans="1:12" x14ac:dyDescent="0.25">
      <c r="A13" s="11">
        <v>7</v>
      </c>
      <c r="B13" s="150">
        <v>45497</v>
      </c>
      <c r="C13" s="16" t="s">
        <v>25</v>
      </c>
      <c r="D13" s="15"/>
      <c r="E13" s="15" t="s">
        <v>6</v>
      </c>
      <c r="F13" s="17"/>
      <c r="G13" s="18"/>
      <c r="H13" s="17"/>
      <c r="I13" s="19"/>
      <c r="J13" s="19"/>
      <c r="K13" s="20">
        <v>2000000</v>
      </c>
      <c r="L13" s="21"/>
    </row>
    <row r="14" spans="1:12" x14ac:dyDescent="0.25">
      <c r="A14" s="12">
        <v>8</v>
      </c>
      <c r="B14" s="150">
        <v>45497</v>
      </c>
      <c r="C14" s="16" t="s">
        <v>24</v>
      </c>
      <c r="D14" s="15"/>
      <c r="E14" s="15" t="s">
        <v>6</v>
      </c>
      <c r="F14" s="17"/>
      <c r="G14" s="18"/>
      <c r="H14" s="17"/>
      <c r="I14" s="19"/>
      <c r="J14" s="19"/>
      <c r="K14" s="20">
        <v>2000000</v>
      </c>
      <c r="L14" s="21"/>
    </row>
    <row r="15" spans="1:12" x14ac:dyDescent="0.25">
      <c r="A15" s="11">
        <v>9</v>
      </c>
      <c r="B15" s="150">
        <v>45499</v>
      </c>
      <c r="C15" s="16" t="s">
        <v>25</v>
      </c>
      <c r="D15" s="15" t="s">
        <v>90</v>
      </c>
      <c r="E15" s="15" t="s">
        <v>6</v>
      </c>
      <c r="F15" s="17"/>
      <c r="G15" s="18"/>
      <c r="H15" s="17"/>
      <c r="I15" s="19"/>
      <c r="J15" s="19"/>
      <c r="K15" s="20">
        <v>4200000</v>
      </c>
      <c r="L15" s="21"/>
    </row>
    <row r="16" spans="1:12" x14ac:dyDescent="0.25">
      <c r="A16" s="12">
        <v>10</v>
      </c>
      <c r="B16" s="150">
        <v>45499</v>
      </c>
      <c r="C16" s="16" t="s">
        <v>25</v>
      </c>
      <c r="D16" s="15" t="s">
        <v>91</v>
      </c>
      <c r="E16" s="15" t="s">
        <v>6</v>
      </c>
      <c r="F16" s="17"/>
      <c r="G16" s="18"/>
      <c r="H16" s="17"/>
      <c r="I16" s="19"/>
      <c r="J16" s="19"/>
      <c r="K16" s="20">
        <v>6000000</v>
      </c>
      <c r="L16" s="21"/>
    </row>
    <row r="17" spans="1:12" x14ac:dyDescent="0.25">
      <c r="A17" s="11">
        <v>11</v>
      </c>
      <c r="B17" s="150">
        <v>45502</v>
      </c>
      <c r="C17" s="16" t="s">
        <v>25</v>
      </c>
      <c r="D17" s="15" t="s">
        <v>97</v>
      </c>
      <c r="E17" s="15" t="s">
        <v>6</v>
      </c>
      <c r="F17" s="17"/>
      <c r="G17" s="18"/>
      <c r="H17" s="17"/>
      <c r="I17" s="19"/>
      <c r="J17" s="19"/>
      <c r="K17" s="20">
        <v>3200000</v>
      </c>
      <c r="L17" s="21"/>
    </row>
    <row r="18" spans="1:12" x14ac:dyDescent="0.25">
      <c r="A18" s="12">
        <v>12</v>
      </c>
      <c r="B18" s="80">
        <v>45505</v>
      </c>
      <c r="C18" s="145" t="s">
        <v>104</v>
      </c>
      <c r="D18" s="76" t="s">
        <v>103</v>
      </c>
      <c r="E18" s="15" t="s">
        <v>6</v>
      </c>
      <c r="F18" s="17"/>
      <c r="G18" s="127"/>
      <c r="H18" s="127"/>
      <c r="I18" s="127"/>
      <c r="J18" s="128"/>
      <c r="K18" s="77">
        <v>4000000</v>
      </c>
      <c r="L18" s="21"/>
    </row>
    <row r="19" spans="1:12" x14ac:dyDescent="0.25">
      <c r="A19" s="11">
        <v>13</v>
      </c>
      <c r="B19" s="150">
        <v>45506</v>
      </c>
      <c r="C19" s="16" t="s">
        <v>24</v>
      </c>
      <c r="D19" s="15" t="s">
        <v>86</v>
      </c>
      <c r="E19" s="15" t="s">
        <v>6</v>
      </c>
      <c r="F19" s="17"/>
      <c r="G19" s="18"/>
      <c r="H19" s="17"/>
      <c r="I19" s="19"/>
      <c r="J19" s="19"/>
      <c r="K19" s="20">
        <v>1400000</v>
      </c>
      <c r="L19" s="21"/>
    </row>
    <row r="20" spans="1:12" x14ac:dyDescent="0.25">
      <c r="A20" s="12">
        <v>14</v>
      </c>
      <c r="B20" s="150">
        <v>45510</v>
      </c>
      <c r="C20" s="16" t="s">
        <v>25</v>
      </c>
      <c r="D20" s="15"/>
      <c r="E20" s="15" t="s">
        <v>6</v>
      </c>
      <c r="F20" s="17"/>
      <c r="G20" s="18"/>
      <c r="H20" s="17"/>
      <c r="I20" s="19"/>
      <c r="J20" s="19"/>
      <c r="K20" s="20">
        <v>2700000</v>
      </c>
      <c r="L20" s="21"/>
    </row>
    <row r="21" spans="1:12" x14ac:dyDescent="0.25">
      <c r="A21" s="11">
        <v>15</v>
      </c>
      <c r="B21" s="150">
        <v>45511</v>
      </c>
      <c r="C21" s="16" t="s">
        <v>25</v>
      </c>
      <c r="D21" s="15"/>
      <c r="E21" s="15" t="s">
        <v>6</v>
      </c>
      <c r="F21" s="17"/>
      <c r="G21" s="18"/>
      <c r="H21" s="17"/>
      <c r="I21" s="19"/>
      <c r="J21" s="19"/>
      <c r="K21" s="20">
        <v>700000</v>
      </c>
      <c r="L21" s="21"/>
    </row>
    <row r="22" spans="1:12" x14ac:dyDescent="0.25">
      <c r="A22" s="12">
        <v>16</v>
      </c>
      <c r="B22" s="150">
        <v>45513</v>
      </c>
      <c r="C22" s="16" t="s">
        <v>25</v>
      </c>
      <c r="D22" s="15" t="s">
        <v>122</v>
      </c>
      <c r="E22" s="15" t="s">
        <v>6</v>
      </c>
      <c r="F22" s="17"/>
      <c r="G22" s="18"/>
      <c r="H22" s="17"/>
      <c r="I22" s="19"/>
      <c r="J22" s="19"/>
      <c r="K22" s="20">
        <v>3000000</v>
      </c>
      <c r="L22" s="21"/>
    </row>
    <row r="23" spans="1:12" x14ac:dyDescent="0.25">
      <c r="A23" s="11">
        <v>17</v>
      </c>
      <c r="B23" s="150">
        <v>45513</v>
      </c>
      <c r="C23" s="16" t="s">
        <v>25</v>
      </c>
      <c r="D23" s="15" t="s">
        <v>123</v>
      </c>
      <c r="E23" s="15" t="s">
        <v>6</v>
      </c>
      <c r="F23" s="17"/>
      <c r="G23" s="18"/>
      <c r="H23" s="17"/>
      <c r="I23" s="19"/>
      <c r="J23" s="19"/>
      <c r="K23" s="20">
        <v>3500000</v>
      </c>
      <c r="L23" s="21"/>
    </row>
    <row r="24" spans="1:12" x14ac:dyDescent="0.25">
      <c r="A24" s="12">
        <v>18</v>
      </c>
      <c r="B24" s="150">
        <v>45516</v>
      </c>
      <c r="C24" s="16" t="s">
        <v>25</v>
      </c>
      <c r="D24" s="15" t="s">
        <v>126</v>
      </c>
      <c r="E24" s="15" t="s">
        <v>6</v>
      </c>
      <c r="F24" s="17"/>
      <c r="G24" s="18"/>
      <c r="H24" s="17"/>
      <c r="I24" s="19"/>
      <c r="J24" s="19"/>
      <c r="K24" s="20">
        <v>4000000</v>
      </c>
      <c r="L24" s="21"/>
    </row>
    <row r="25" spans="1:12" x14ac:dyDescent="0.25">
      <c r="A25" s="11">
        <v>19</v>
      </c>
      <c r="B25" s="150">
        <v>45517</v>
      </c>
      <c r="C25" s="16" t="s">
        <v>25</v>
      </c>
      <c r="D25" s="15" t="s">
        <v>129</v>
      </c>
      <c r="E25" s="15" t="s">
        <v>6</v>
      </c>
      <c r="F25" s="17"/>
      <c r="G25" s="18"/>
      <c r="H25" s="17"/>
      <c r="I25" s="19"/>
      <c r="J25" s="19"/>
      <c r="K25" s="20">
        <v>2150000</v>
      </c>
      <c r="L25" s="21"/>
    </row>
    <row r="26" spans="1:12" x14ac:dyDescent="0.25">
      <c r="A26" s="12">
        <v>20</v>
      </c>
      <c r="B26" s="150">
        <v>45517</v>
      </c>
      <c r="C26" s="16" t="s">
        <v>80</v>
      </c>
      <c r="D26" s="15" t="s">
        <v>130</v>
      </c>
      <c r="E26" s="15" t="s">
        <v>6</v>
      </c>
      <c r="F26" s="17"/>
      <c r="G26" s="18"/>
      <c r="H26" s="17"/>
      <c r="I26" s="19"/>
      <c r="J26" s="19"/>
      <c r="K26" s="20">
        <v>850000</v>
      </c>
      <c r="L26" s="21"/>
    </row>
    <row r="27" spans="1:12" x14ac:dyDescent="0.25">
      <c r="A27" s="11">
        <v>21</v>
      </c>
      <c r="B27" s="150">
        <v>45520</v>
      </c>
      <c r="C27" s="16" t="s">
        <v>135</v>
      </c>
      <c r="D27" s="15" t="s">
        <v>137</v>
      </c>
      <c r="E27" s="15" t="s">
        <v>6</v>
      </c>
      <c r="F27" s="17"/>
      <c r="G27" s="18"/>
      <c r="H27" s="17"/>
      <c r="I27" s="19"/>
      <c r="J27" s="19"/>
      <c r="K27" s="20">
        <v>2000000</v>
      </c>
      <c r="L27" s="21"/>
    </row>
    <row r="28" spans="1:12" x14ac:dyDescent="0.25">
      <c r="A28" s="12">
        <v>22</v>
      </c>
      <c r="B28" s="150">
        <v>45523</v>
      </c>
      <c r="C28" s="16" t="s">
        <v>25</v>
      </c>
      <c r="D28" s="15" t="s">
        <v>138</v>
      </c>
      <c r="E28" s="15" t="s">
        <v>6</v>
      </c>
      <c r="F28" s="17"/>
      <c r="G28" s="18"/>
      <c r="H28" s="17"/>
      <c r="I28" s="19"/>
      <c r="J28" s="19"/>
      <c r="K28" s="20">
        <v>4000000</v>
      </c>
      <c r="L28" s="21"/>
    </row>
    <row r="29" spans="1:12" x14ac:dyDescent="0.25">
      <c r="A29" s="11">
        <v>23</v>
      </c>
      <c r="B29" s="150">
        <v>45523</v>
      </c>
      <c r="C29" s="16" t="s">
        <v>135</v>
      </c>
      <c r="D29" s="15" t="s">
        <v>140</v>
      </c>
      <c r="E29" s="15" t="s">
        <v>6</v>
      </c>
      <c r="F29" s="17"/>
      <c r="G29" s="18"/>
      <c r="H29" s="17"/>
      <c r="I29" s="19"/>
      <c r="J29" s="19"/>
      <c r="K29" s="20">
        <v>2000000</v>
      </c>
      <c r="L29" s="21"/>
    </row>
    <row r="30" spans="1:12" x14ac:dyDescent="0.25">
      <c r="A30" s="12">
        <v>24</v>
      </c>
      <c r="B30" s="80">
        <v>45525</v>
      </c>
      <c r="C30" s="16" t="s">
        <v>25</v>
      </c>
      <c r="D30" s="74" t="s">
        <v>145</v>
      </c>
      <c r="E30" s="15" t="s">
        <v>6</v>
      </c>
      <c r="F30" s="17"/>
      <c r="G30" s="74"/>
      <c r="H30" s="74"/>
      <c r="I30" s="74"/>
      <c r="J30" s="74"/>
      <c r="K30" s="140">
        <v>2500000</v>
      </c>
      <c r="L30" s="21"/>
    </row>
    <row r="31" spans="1:12" x14ac:dyDescent="0.25">
      <c r="A31" s="11">
        <v>25</v>
      </c>
      <c r="B31" s="150">
        <v>45525</v>
      </c>
      <c r="C31" s="16" t="s">
        <v>80</v>
      </c>
      <c r="D31" s="15" t="s">
        <v>141</v>
      </c>
      <c r="E31" s="15" t="s">
        <v>6</v>
      </c>
      <c r="F31" s="17"/>
      <c r="G31" s="18"/>
      <c r="H31" s="17"/>
      <c r="I31" s="19"/>
      <c r="J31" s="19"/>
      <c r="K31" s="20">
        <v>600000</v>
      </c>
      <c r="L31" s="21"/>
    </row>
    <row r="32" spans="1:12" x14ac:dyDescent="0.25">
      <c r="A32" s="12">
        <v>26</v>
      </c>
      <c r="B32" s="150">
        <v>45525</v>
      </c>
      <c r="C32" s="16" t="s">
        <v>25</v>
      </c>
      <c r="D32" s="15" t="s">
        <v>149</v>
      </c>
      <c r="E32" s="15" t="s">
        <v>6</v>
      </c>
      <c r="F32" s="17"/>
      <c r="G32" s="18"/>
      <c r="H32" s="17"/>
      <c r="I32" s="19"/>
      <c r="J32" s="19"/>
      <c r="K32" s="20">
        <v>500000</v>
      </c>
      <c r="L32" s="21"/>
    </row>
    <row r="33" spans="1:12" x14ac:dyDescent="0.25">
      <c r="A33" s="11">
        <v>27</v>
      </c>
      <c r="B33" s="150">
        <v>45533</v>
      </c>
      <c r="C33" s="16" t="s">
        <v>25</v>
      </c>
      <c r="D33" s="15" t="s">
        <v>154</v>
      </c>
      <c r="E33" s="15" t="s">
        <v>6</v>
      </c>
      <c r="F33" s="17"/>
      <c r="G33" s="18"/>
      <c r="H33" s="17"/>
      <c r="I33" s="19"/>
      <c r="J33" s="19"/>
      <c r="K33" s="20">
        <v>4000000</v>
      </c>
      <c r="L33" s="2"/>
    </row>
    <row r="34" spans="1:12" x14ac:dyDescent="0.25">
      <c r="A34" s="12">
        <v>28</v>
      </c>
      <c r="B34" s="150">
        <v>45533</v>
      </c>
      <c r="C34" s="16" t="s">
        <v>25</v>
      </c>
      <c r="D34" s="15" t="s">
        <v>159</v>
      </c>
      <c r="E34" s="15" t="s">
        <v>6</v>
      </c>
      <c r="F34" s="17"/>
      <c r="G34" s="18"/>
      <c r="H34" s="17"/>
      <c r="I34" s="19"/>
      <c r="J34" s="19"/>
      <c r="K34" s="20">
        <v>2000000</v>
      </c>
      <c r="L34" s="2"/>
    </row>
    <row r="35" spans="1:12" x14ac:dyDescent="0.25">
      <c r="A35" s="11">
        <v>29</v>
      </c>
      <c r="B35" s="150">
        <v>45537</v>
      </c>
      <c r="C35" s="16" t="s">
        <v>135</v>
      </c>
      <c r="D35" s="15" t="s">
        <v>176</v>
      </c>
      <c r="E35" s="15" t="s">
        <v>6</v>
      </c>
      <c r="F35" s="17"/>
      <c r="G35" s="18"/>
      <c r="H35" s="17"/>
      <c r="I35" s="19"/>
      <c r="J35" s="19"/>
      <c r="K35" s="20">
        <v>3300000</v>
      </c>
      <c r="L35" s="2"/>
    </row>
    <row r="36" spans="1:12" x14ac:dyDescent="0.25">
      <c r="A36" s="12">
        <v>30</v>
      </c>
      <c r="B36" s="150">
        <v>45538</v>
      </c>
      <c r="C36" s="16" t="s">
        <v>25</v>
      </c>
      <c r="D36" s="15" t="s">
        <v>178</v>
      </c>
      <c r="E36" s="15" t="s">
        <v>6</v>
      </c>
      <c r="F36" s="17"/>
      <c r="G36" s="18"/>
      <c r="H36" s="17"/>
      <c r="I36" s="19"/>
      <c r="J36" s="19"/>
      <c r="K36" s="20">
        <v>2400000</v>
      </c>
      <c r="L36" s="2"/>
    </row>
    <row r="37" spans="1:12" x14ac:dyDescent="0.25">
      <c r="A37" s="11">
        <v>31</v>
      </c>
      <c r="B37" s="150">
        <v>45538</v>
      </c>
      <c r="C37" s="16" t="s">
        <v>25</v>
      </c>
      <c r="D37" s="15" t="s">
        <v>177</v>
      </c>
      <c r="E37" s="15" t="s">
        <v>6</v>
      </c>
      <c r="F37" s="17"/>
      <c r="G37" s="18"/>
      <c r="H37" s="17"/>
      <c r="I37" s="19"/>
      <c r="J37" s="19"/>
      <c r="K37" s="20">
        <v>1200000</v>
      </c>
      <c r="L37" s="2"/>
    </row>
    <row r="38" spans="1:12" x14ac:dyDescent="0.25">
      <c r="A38" s="12">
        <v>32</v>
      </c>
      <c r="B38" s="26">
        <v>45539</v>
      </c>
      <c r="C38" s="16" t="s">
        <v>25</v>
      </c>
      <c r="D38" s="15" t="s">
        <v>182</v>
      </c>
      <c r="E38" s="15" t="s">
        <v>6</v>
      </c>
      <c r="F38" s="17"/>
      <c r="G38" s="18"/>
      <c r="H38" s="17"/>
      <c r="I38" s="19"/>
      <c r="J38" s="19"/>
      <c r="K38" s="20">
        <v>1900000</v>
      </c>
      <c r="L38" s="2"/>
    </row>
    <row r="39" spans="1:12" x14ac:dyDescent="0.25">
      <c r="A39" s="11">
        <v>33</v>
      </c>
      <c r="B39" s="26">
        <v>45539</v>
      </c>
      <c r="C39" s="16" t="s">
        <v>80</v>
      </c>
      <c r="D39" s="15" t="s">
        <v>183</v>
      </c>
      <c r="E39" s="15" t="s">
        <v>6</v>
      </c>
      <c r="F39" s="17"/>
      <c r="G39" s="18"/>
      <c r="H39" s="17"/>
      <c r="I39" s="19"/>
      <c r="J39" s="19"/>
      <c r="K39" s="20">
        <v>500000</v>
      </c>
      <c r="L39" s="2"/>
    </row>
    <row r="40" spans="1:12" x14ac:dyDescent="0.25">
      <c r="A40" s="12">
        <v>34</v>
      </c>
      <c r="B40" s="26">
        <v>45539</v>
      </c>
      <c r="C40" s="16" t="s">
        <v>24</v>
      </c>
      <c r="D40" s="15" t="s">
        <v>86</v>
      </c>
      <c r="E40" s="15" t="s">
        <v>6</v>
      </c>
      <c r="F40" s="17"/>
      <c r="G40" s="18"/>
      <c r="H40" s="17"/>
      <c r="I40" s="19"/>
      <c r="J40" s="19"/>
      <c r="K40" s="20">
        <v>1100000</v>
      </c>
      <c r="L40" s="2"/>
    </row>
    <row r="41" spans="1:12" x14ac:dyDescent="0.25">
      <c r="A41" s="11">
        <v>35</v>
      </c>
      <c r="B41" s="26">
        <v>45545</v>
      </c>
      <c r="C41" s="16" t="s">
        <v>25</v>
      </c>
      <c r="D41" s="15" t="s">
        <v>191</v>
      </c>
      <c r="E41" s="15" t="s">
        <v>6</v>
      </c>
      <c r="F41" s="17"/>
      <c r="G41" s="18"/>
      <c r="H41" s="17"/>
      <c r="I41" s="19"/>
      <c r="J41" s="19"/>
      <c r="K41" s="20">
        <v>3200000</v>
      </c>
      <c r="L41" s="2"/>
    </row>
    <row r="42" spans="1:12" x14ac:dyDescent="0.25">
      <c r="A42" s="12">
        <v>36</v>
      </c>
      <c r="B42" s="26">
        <v>45548</v>
      </c>
      <c r="C42" s="16" t="s">
        <v>25</v>
      </c>
      <c r="D42" s="15" t="s">
        <v>193</v>
      </c>
      <c r="E42" s="15" t="s">
        <v>6</v>
      </c>
      <c r="F42" s="17"/>
      <c r="G42" s="18"/>
      <c r="H42" s="17"/>
      <c r="I42" s="19"/>
      <c r="J42" s="19"/>
      <c r="K42" s="20">
        <v>4000000</v>
      </c>
      <c r="L42" s="2"/>
    </row>
    <row r="43" spans="1:12" x14ac:dyDescent="0.25">
      <c r="A43" s="11">
        <v>37</v>
      </c>
      <c r="B43" s="26">
        <v>45551</v>
      </c>
      <c r="C43" s="16" t="s">
        <v>25</v>
      </c>
      <c r="D43" s="15" t="s">
        <v>197</v>
      </c>
      <c r="E43" s="15" t="s">
        <v>6</v>
      </c>
      <c r="F43" s="17"/>
      <c r="G43" s="18"/>
      <c r="H43" s="17"/>
      <c r="I43" s="19"/>
      <c r="J43" s="19"/>
      <c r="K43" s="20">
        <v>4000000</v>
      </c>
      <c r="L43" s="2"/>
    </row>
    <row r="44" spans="1:12" x14ac:dyDescent="0.25">
      <c r="A44" s="12">
        <v>38</v>
      </c>
      <c r="B44" s="26">
        <v>45551</v>
      </c>
      <c r="C44" s="16" t="s">
        <v>25</v>
      </c>
      <c r="D44" s="15" t="s">
        <v>196</v>
      </c>
      <c r="E44" s="15" t="s">
        <v>6</v>
      </c>
      <c r="F44" s="17"/>
      <c r="G44" s="18"/>
      <c r="H44" s="17"/>
      <c r="I44" s="19"/>
      <c r="J44" s="19"/>
      <c r="K44" s="20">
        <v>1650000</v>
      </c>
      <c r="L44" s="2"/>
    </row>
    <row r="45" spans="1:12" x14ac:dyDescent="0.25">
      <c r="A45" s="11">
        <v>39</v>
      </c>
      <c r="B45" s="26">
        <v>45560</v>
      </c>
      <c r="C45" s="16" t="s">
        <v>135</v>
      </c>
      <c r="D45" s="15" t="s">
        <v>204</v>
      </c>
      <c r="E45" s="15" t="s">
        <v>6</v>
      </c>
      <c r="F45" s="17"/>
      <c r="G45" s="18"/>
      <c r="H45" s="17"/>
      <c r="I45" s="19"/>
      <c r="J45" s="19"/>
      <c r="K45" s="20">
        <v>3800000</v>
      </c>
      <c r="L45" s="2"/>
    </row>
    <row r="46" spans="1:12" x14ac:dyDescent="0.25">
      <c r="A46" s="12">
        <v>40</v>
      </c>
      <c r="B46" s="26">
        <v>45560</v>
      </c>
      <c r="C46" s="16" t="s">
        <v>80</v>
      </c>
      <c r="D46" s="15" t="s">
        <v>207</v>
      </c>
      <c r="E46" s="15" t="s">
        <v>6</v>
      </c>
      <c r="F46" s="17"/>
      <c r="G46" s="18"/>
      <c r="H46" s="17"/>
      <c r="I46" s="19"/>
      <c r="J46" s="19"/>
      <c r="K46" s="20">
        <v>1000000</v>
      </c>
      <c r="L46" s="2"/>
    </row>
    <row r="47" spans="1:12" x14ac:dyDescent="0.25">
      <c r="A47" s="11">
        <v>41</v>
      </c>
      <c r="B47" s="26">
        <v>45560</v>
      </c>
      <c r="C47" s="16" t="s">
        <v>25</v>
      </c>
      <c r="D47" s="15" t="s">
        <v>208</v>
      </c>
      <c r="E47" s="15" t="s">
        <v>6</v>
      </c>
      <c r="F47" s="17"/>
      <c r="G47" s="18"/>
      <c r="H47" s="17"/>
      <c r="I47" s="19"/>
      <c r="J47" s="19"/>
      <c r="K47" s="20">
        <v>1000000</v>
      </c>
      <c r="L47" s="2"/>
    </row>
    <row r="48" spans="1:12" x14ac:dyDescent="0.25">
      <c r="A48" s="12">
        <v>42</v>
      </c>
      <c r="B48" s="26">
        <v>45561</v>
      </c>
      <c r="C48" s="16" t="s">
        <v>25</v>
      </c>
      <c r="D48" s="15" t="s">
        <v>210</v>
      </c>
      <c r="E48" s="15" t="s">
        <v>6</v>
      </c>
      <c r="F48" s="17"/>
      <c r="G48" s="18"/>
      <c r="H48" s="17"/>
      <c r="I48" s="19"/>
      <c r="J48" s="19"/>
      <c r="K48" s="20">
        <v>1300000</v>
      </c>
      <c r="L48" s="2"/>
    </row>
    <row r="49" spans="1:12" x14ac:dyDescent="0.25">
      <c r="A49" s="11">
        <v>43</v>
      </c>
      <c r="B49" s="26">
        <v>45567</v>
      </c>
      <c r="C49" s="16" t="s">
        <v>25</v>
      </c>
      <c r="D49" s="15" t="s">
        <v>213</v>
      </c>
      <c r="E49" s="15" t="s">
        <v>6</v>
      </c>
      <c r="F49" s="17"/>
      <c r="G49" s="18"/>
      <c r="H49" s="17"/>
      <c r="I49" s="19"/>
      <c r="J49" s="19"/>
      <c r="K49" s="20">
        <v>5100000</v>
      </c>
      <c r="L49" s="2"/>
    </row>
    <row r="50" spans="1:12" x14ac:dyDescent="0.25">
      <c r="A50" s="12">
        <v>44</v>
      </c>
      <c r="B50" s="26">
        <v>45567</v>
      </c>
      <c r="C50" s="16" t="s">
        <v>80</v>
      </c>
      <c r="D50" s="185" t="s">
        <v>219</v>
      </c>
      <c r="E50" s="15" t="s">
        <v>6</v>
      </c>
      <c r="F50" s="17"/>
      <c r="K50" s="186">
        <v>500000</v>
      </c>
      <c r="L50" s="2"/>
    </row>
    <row r="51" spans="1:12" x14ac:dyDescent="0.25">
      <c r="A51" s="11">
        <v>45</v>
      </c>
      <c r="B51" s="26">
        <v>45568</v>
      </c>
      <c r="C51" s="16" t="s">
        <v>25</v>
      </c>
      <c r="D51" s="15" t="s">
        <v>217</v>
      </c>
      <c r="E51" s="15" t="s">
        <v>6</v>
      </c>
      <c r="F51" s="17"/>
      <c r="G51" s="18"/>
      <c r="H51" s="17"/>
      <c r="I51" s="19"/>
      <c r="J51" s="19"/>
      <c r="K51" s="20">
        <v>3300000</v>
      </c>
      <c r="L51" s="2"/>
    </row>
    <row r="52" spans="1:12" x14ac:dyDescent="0.25">
      <c r="A52" s="12">
        <v>46</v>
      </c>
      <c r="B52" s="26">
        <v>45568</v>
      </c>
      <c r="C52" s="16" t="s">
        <v>80</v>
      </c>
      <c r="D52" s="15" t="s">
        <v>218</v>
      </c>
      <c r="E52" s="15" t="s">
        <v>6</v>
      </c>
      <c r="F52" s="17"/>
      <c r="G52" s="18"/>
      <c r="H52" s="17"/>
      <c r="I52" s="19"/>
      <c r="J52" s="19"/>
      <c r="K52" s="20">
        <v>700000</v>
      </c>
      <c r="L52" s="2"/>
    </row>
    <row r="53" spans="1:12" x14ac:dyDescent="0.25">
      <c r="A53" s="11">
        <v>47</v>
      </c>
      <c r="B53" s="26">
        <v>45569</v>
      </c>
      <c r="C53" s="16" t="s">
        <v>80</v>
      </c>
      <c r="D53" s="15" t="s">
        <v>220</v>
      </c>
      <c r="E53" s="15" t="s">
        <v>6</v>
      </c>
      <c r="F53" s="17"/>
      <c r="G53" s="18"/>
      <c r="H53" s="17"/>
      <c r="I53" s="19"/>
      <c r="J53" s="19"/>
      <c r="K53" s="20">
        <v>10000000</v>
      </c>
      <c r="L53" s="2"/>
    </row>
    <row r="54" spans="1:12" x14ac:dyDescent="0.25">
      <c r="A54" s="12">
        <v>48</v>
      </c>
      <c r="B54" s="26">
        <v>45574</v>
      </c>
      <c r="C54" s="16" t="s">
        <v>223</v>
      </c>
      <c r="D54" s="15"/>
      <c r="E54" s="15" t="s">
        <v>6</v>
      </c>
      <c r="F54" s="17"/>
      <c r="G54" s="18"/>
      <c r="H54" s="17"/>
      <c r="I54" s="19"/>
      <c r="J54" s="19"/>
      <c r="K54" s="20">
        <v>1700000</v>
      </c>
      <c r="L54" s="2"/>
    </row>
    <row r="55" spans="1:12" x14ac:dyDescent="0.25">
      <c r="A55" s="11">
        <v>49</v>
      </c>
      <c r="B55" s="26">
        <v>45574</v>
      </c>
      <c r="C55" s="16" t="s">
        <v>135</v>
      </c>
      <c r="D55" s="15" t="s">
        <v>224</v>
      </c>
      <c r="E55" s="15" t="s">
        <v>6</v>
      </c>
      <c r="F55" s="17"/>
      <c r="G55" s="18"/>
      <c r="H55" s="17"/>
      <c r="I55" s="19"/>
      <c r="J55" s="19"/>
      <c r="K55" s="20">
        <v>3900000</v>
      </c>
      <c r="L55" s="2"/>
    </row>
    <row r="56" spans="1:12" x14ac:dyDescent="0.25">
      <c r="A56" s="12">
        <v>50</v>
      </c>
      <c r="B56" s="26">
        <v>45575</v>
      </c>
      <c r="C56" s="16" t="s">
        <v>25</v>
      </c>
      <c r="D56" s="15" t="s">
        <v>228</v>
      </c>
      <c r="E56" s="15" t="s">
        <v>6</v>
      </c>
      <c r="F56" s="17"/>
      <c r="G56" s="18"/>
      <c r="H56" s="17"/>
      <c r="I56" s="19"/>
      <c r="J56" s="19"/>
      <c r="K56" s="20">
        <v>1200000</v>
      </c>
      <c r="L56" s="2"/>
    </row>
    <row r="57" spans="1:12" x14ac:dyDescent="0.25">
      <c r="A57" s="11">
        <v>51</v>
      </c>
      <c r="B57" s="26">
        <v>45575</v>
      </c>
      <c r="C57" s="16" t="s">
        <v>80</v>
      </c>
      <c r="D57" s="15" t="s">
        <v>229</v>
      </c>
      <c r="E57" s="15" t="s">
        <v>6</v>
      </c>
      <c r="F57" s="17"/>
      <c r="G57" s="18"/>
      <c r="H57" s="17"/>
      <c r="I57" s="19"/>
      <c r="J57" s="19"/>
      <c r="K57" s="20">
        <v>2700000</v>
      </c>
      <c r="L57" s="2"/>
    </row>
    <row r="58" spans="1:12" x14ac:dyDescent="0.25">
      <c r="A58" s="12">
        <v>52</v>
      </c>
      <c r="B58" s="26">
        <v>45578</v>
      </c>
      <c r="C58" s="16" t="s">
        <v>25</v>
      </c>
      <c r="D58" s="15" t="s">
        <v>230</v>
      </c>
      <c r="E58" s="15" t="s">
        <v>6</v>
      </c>
      <c r="F58" s="17"/>
      <c r="G58" s="18"/>
      <c r="H58" s="17"/>
      <c r="I58" s="19"/>
      <c r="J58" s="19"/>
      <c r="K58" s="20">
        <v>4400000</v>
      </c>
      <c r="L58" s="2"/>
    </row>
    <row r="59" spans="1:12" x14ac:dyDescent="0.25">
      <c r="A59" s="11">
        <v>53</v>
      </c>
      <c r="B59" s="26">
        <v>45582</v>
      </c>
      <c r="C59" s="16" t="s">
        <v>25</v>
      </c>
      <c r="D59" s="15" t="s">
        <v>232</v>
      </c>
      <c r="E59" s="15" t="s">
        <v>6</v>
      </c>
      <c r="F59" s="17"/>
      <c r="G59" s="18"/>
      <c r="H59" s="17"/>
      <c r="I59" s="19"/>
      <c r="J59" s="19"/>
      <c r="K59" s="20">
        <v>4300000</v>
      </c>
      <c r="L59" s="2"/>
    </row>
    <row r="60" spans="1:12" x14ac:dyDescent="0.25">
      <c r="A60" s="12">
        <v>54</v>
      </c>
      <c r="B60" s="26">
        <v>45586</v>
      </c>
      <c r="C60" s="16" t="s">
        <v>135</v>
      </c>
      <c r="D60" s="15" t="s">
        <v>241</v>
      </c>
      <c r="E60" s="15" t="s">
        <v>6</v>
      </c>
      <c r="F60" s="17"/>
      <c r="G60" s="18"/>
      <c r="H60" s="17"/>
      <c r="I60" s="19"/>
      <c r="J60" s="19"/>
      <c r="K60" s="20">
        <v>1400000</v>
      </c>
      <c r="L60" s="2"/>
    </row>
    <row r="61" spans="1:12" x14ac:dyDescent="0.25">
      <c r="A61" s="11">
        <v>55</v>
      </c>
      <c r="B61" s="26">
        <v>45586</v>
      </c>
      <c r="C61" s="16" t="s">
        <v>25</v>
      </c>
      <c r="D61" s="15" t="s">
        <v>242</v>
      </c>
      <c r="E61" s="15" t="s">
        <v>6</v>
      </c>
      <c r="F61" s="17"/>
      <c r="G61" s="18"/>
      <c r="H61" s="17"/>
      <c r="I61" s="19"/>
      <c r="J61" s="19"/>
      <c r="K61" s="20">
        <v>8900000</v>
      </c>
      <c r="L61" s="2"/>
    </row>
    <row r="62" spans="1:12" x14ac:dyDescent="0.25">
      <c r="A62" s="12">
        <v>56</v>
      </c>
      <c r="B62" s="26">
        <v>45597</v>
      </c>
      <c r="C62" s="16" t="s">
        <v>25</v>
      </c>
      <c r="D62" s="15"/>
      <c r="E62" s="15" t="s">
        <v>6</v>
      </c>
      <c r="F62" s="17"/>
      <c r="G62" s="18"/>
      <c r="H62" s="17"/>
      <c r="I62" s="19"/>
      <c r="J62" s="19"/>
      <c r="K62" s="20">
        <v>3700000</v>
      </c>
      <c r="L62" s="2" t="s">
        <v>255</v>
      </c>
    </row>
    <row r="63" spans="1:12" x14ac:dyDescent="0.25">
      <c r="A63" s="11">
        <v>57</v>
      </c>
      <c r="B63" s="26">
        <v>45601</v>
      </c>
      <c r="C63" s="16" t="s">
        <v>80</v>
      </c>
      <c r="D63" s="15" t="s">
        <v>249</v>
      </c>
      <c r="E63" s="15" t="s">
        <v>6</v>
      </c>
      <c r="F63" s="17"/>
      <c r="G63" s="18"/>
      <c r="H63" s="17"/>
      <c r="I63" s="19"/>
      <c r="J63" s="19"/>
      <c r="K63" s="20">
        <v>5000000</v>
      </c>
      <c r="L63" s="2"/>
    </row>
    <row r="64" spans="1:12" x14ac:dyDescent="0.25">
      <c r="A64" s="12">
        <v>58</v>
      </c>
      <c r="B64" s="26">
        <v>45602</v>
      </c>
      <c r="C64" s="16" t="s">
        <v>135</v>
      </c>
      <c r="D64" s="15" t="s">
        <v>254</v>
      </c>
      <c r="E64" s="15" t="s">
        <v>6</v>
      </c>
      <c r="F64" s="17"/>
      <c r="G64" s="18"/>
      <c r="H64" s="17"/>
      <c r="I64" s="19"/>
      <c r="J64" s="19"/>
      <c r="K64" s="20">
        <v>2500000</v>
      </c>
      <c r="L64" s="2"/>
    </row>
    <row r="65" spans="1:12" x14ac:dyDescent="0.25">
      <c r="A65" s="11">
        <v>59</v>
      </c>
      <c r="B65" s="26">
        <v>45602</v>
      </c>
      <c r="C65" s="16" t="s">
        <v>80</v>
      </c>
      <c r="D65" s="15" t="s">
        <v>256</v>
      </c>
      <c r="E65" s="15" t="s">
        <v>6</v>
      </c>
      <c r="F65" s="17"/>
      <c r="G65" s="18"/>
      <c r="H65" s="17"/>
      <c r="I65" s="19"/>
      <c r="J65" s="19"/>
      <c r="K65" s="20">
        <v>1500000</v>
      </c>
      <c r="L65" s="2"/>
    </row>
    <row r="66" spans="1:12" x14ac:dyDescent="0.25">
      <c r="A66" s="12">
        <v>60</v>
      </c>
      <c r="B66" s="26">
        <v>45603</v>
      </c>
      <c r="C66" s="16" t="s">
        <v>80</v>
      </c>
      <c r="D66" s="15" t="s">
        <v>257</v>
      </c>
      <c r="E66" s="15" t="s">
        <v>6</v>
      </c>
      <c r="F66" s="17"/>
      <c r="G66" s="18"/>
      <c r="H66" s="17"/>
      <c r="I66" s="19"/>
      <c r="J66" s="19"/>
      <c r="K66" s="20">
        <v>2500000</v>
      </c>
      <c r="L66" s="2"/>
    </row>
    <row r="67" spans="1:12" x14ac:dyDescent="0.25">
      <c r="A67" s="11">
        <v>61</v>
      </c>
      <c r="B67" s="26">
        <v>45604</v>
      </c>
      <c r="C67" s="16" t="s">
        <v>25</v>
      </c>
      <c r="D67" s="15" t="s">
        <v>261</v>
      </c>
      <c r="E67" s="15" t="s">
        <v>6</v>
      </c>
      <c r="F67" s="17"/>
      <c r="G67" s="18"/>
      <c r="H67" s="17"/>
      <c r="I67" s="19"/>
      <c r="J67" s="19"/>
      <c r="K67" s="20">
        <v>7600000</v>
      </c>
      <c r="L67" s="2"/>
    </row>
    <row r="68" spans="1:12" x14ac:dyDescent="0.25">
      <c r="A68" s="12">
        <v>62</v>
      </c>
      <c r="B68" s="26">
        <v>45604</v>
      </c>
      <c r="C68" s="16" t="s">
        <v>24</v>
      </c>
      <c r="D68" s="15" t="s">
        <v>86</v>
      </c>
      <c r="E68" s="15" t="s">
        <v>6</v>
      </c>
      <c r="F68" s="17"/>
      <c r="G68" s="18"/>
      <c r="H68" s="17"/>
      <c r="I68" s="19"/>
      <c r="J68" s="19"/>
      <c r="K68" s="20">
        <v>1000000</v>
      </c>
      <c r="L68" s="2"/>
    </row>
    <row r="69" spans="1:12" x14ac:dyDescent="0.25">
      <c r="A69" s="11">
        <v>63</v>
      </c>
      <c r="B69" s="26">
        <v>45608</v>
      </c>
      <c r="C69" s="16" t="s">
        <v>24</v>
      </c>
      <c r="D69" s="15" t="s">
        <v>271</v>
      </c>
      <c r="E69" s="15" t="s">
        <v>6</v>
      </c>
      <c r="F69" s="17"/>
      <c r="G69" s="18"/>
      <c r="H69" s="17"/>
      <c r="I69" s="19"/>
      <c r="J69" s="19"/>
      <c r="K69" s="20">
        <v>1800000</v>
      </c>
      <c r="L69" s="2"/>
    </row>
    <row r="70" spans="1:12" x14ac:dyDescent="0.25">
      <c r="A70" s="12">
        <v>64</v>
      </c>
      <c r="B70" s="26">
        <v>45611</v>
      </c>
      <c r="C70" s="16" t="s">
        <v>25</v>
      </c>
      <c r="D70" s="15" t="s">
        <v>273</v>
      </c>
      <c r="E70" s="15" t="s">
        <v>6</v>
      </c>
      <c r="F70" s="17"/>
      <c r="G70" s="18"/>
      <c r="H70" s="17"/>
      <c r="I70" s="19"/>
      <c r="J70" s="19"/>
      <c r="K70" s="20">
        <v>4000000</v>
      </c>
      <c r="L70" s="2"/>
    </row>
    <row r="71" spans="1:12" x14ac:dyDescent="0.25">
      <c r="A71" s="11">
        <v>65</v>
      </c>
      <c r="B71" s="26">
        <v>45614</v>
      </c>
      <c r="C71" s="16" t="s">
        <v>135</v>
      </c>
      <c r="D71" s="15" t="s">
        <v>275</v>
      </c>
      <c r="E71" s="15" t="s">
        <v>6</v>
      </c>
      <c r="F71" s="17"/>
      <c r="G71" s="18"/>
      <c r="H71" s="17"/>
      <c r="I71" s="19"/>
      <c r="J71" s="19"/>
      <c r="K71" s="20">
        <v>4300000</v>
      </c>
      <c r="L71" s="2"/>
    </row>
    <row r="72" spans="1:12" x14ac:dyDescent="0.25">
      <c r="A72" s="12">
        <v>66</v>
      </c>
      <c r="B72" s="26">
        <v>45614</v>
      </c>
      <c r="C72" s="16" t="s">
        <v>25</v>
      </c>
      <c r="D72" s="15" t="s">
        <v>277</v>
      </c>
      <c r="E72" s="15" t="s">
        <v>6</v>
      </c>
      <c r="F72" s="17"/>
      <c r="G72" s="18"/>
      <c r="H72" s="17"/>
      <c r="I72" s="19"/>
      <c r="J72" s="19"/>
      <c r="K72" s="20">
        <v>2200000</v>
      </c>
      <c r="L72" s="2"/>
    </row>
    <row r="73" spans="1:12" x14ac:dyDescent="0.25">
      <c r="A73" s="11">
        <v>67</v>
      </c>
      <c r="B73" s="26">
        <v>45614</v>
      </c>
      <c r="C73" s="16" t="s">
        <v>24</v>
      </c>
      <c r="D73" s="15" t="s">
        <v>278</v>
      </c>
      <c r="E73" s="15" t="s">
        <v>6</v>
      </c>
      <c r="F73" s="17"/>
      <c r="G73" s="18"/>
      <c r="H73" s="17"/>
      <c r="I73" s="19"/>
      <c r="J73" s="19"/>
      <c r="K73" s="20">
        <v>2100000</v>
      </c>
      <c r="L73" s="2"/>
    </row>
    <row r="74" spans="1:12" x14ac:dyDescent="0.25">
      <c r="A74" s="12">
        <v>68</v>
      </c>
      <c r="B74" s="26">
        <v>45618</v>
      </c>
      <c r="C74" s="16" t="s">
        <v>25</v>
      </c>
      <c r="D74" s="15" t="s">
        <v>281</v>
      </c>
      <c r="E74" s="15" t="s">
        <v>6</v>
      </c>
      <c r="F74" s="17"/>
      <c r="G74" s="18"/>
      <c r="H74" s="17"/>
      <c r="I74" s="19"/>
      <c r="J74" s="19"/>
      <c r="K74" s="20">
        <v>3000000</v>
      </c>
      <c r="L74" s="2"/>
    </row>
    <row r="75" spans="1:12" x14ac:dyDescent="0.25">
      <c r="A75" s="11">
        <v>69</v>
      </c>
      <c r="B75" s="26">
        <v>45618</v>
      </c>
      <c r="C75" s="16" t="s">
        <v>24</v>
      </c>
      <c r="D75" s="15" t="s">
        <v>282</v>
      </c>
      <c r="E75" s="15" t="s">
        <v>6</v>
      </c>
      <c r="F75" s="17"/>
      <c r="G75" s="18"/>
      <c r="H75" s="17"/>
      <c r="I75" s="19"/>
      <c r="J75" s="19"/>
      <c r="K75" s="20">
        <v>2200000</v>
      </c>
      <c r="L75" s="2"/>
    </row>
    <row r="76" spans="1:12" x14ac:dyDescent="0.25">
      <c r="A76" s="12">
        <v>70</v>
      </c>
      <c r="B76" s="26">
        <v>45618</v>
      </c>
      <c r="C76" s="16" t="s">
        <v>80</v>
      </c>
      <c r="D76" s="15" t="s">
        <v>283</v>
      </c>
      <c r="E76" s="15" t="s">
        <v>6</v>
      </c>
      <c r="F76" s="17"/>
      <c r="G76" s="18"/>
      <c r="H76" s="17"/>
      <c r="I76" s="19"/>
      <c r="J76" s="19"/>
      <c r="K76" s="20">
        <v>1000000</v>
      </c>
      <c r="L76" s="2"/>
    </row>
    <row r="77" spans="1:12" x14ac:dyDescent="0.25">
      <c r="A77" s="11">
        <v>71</v>
      </c>
      <c r="B77" s="26">
        <v>45622</v>
      </c>
      <c r="C77" s="16" t="s">
        <v>25</v>
      </c>
      <c r="D77" s="15" t="s">
        <v>289</v>
      </c>
      <c r="E77" s="15" t="s">
        <v>6</v>
      </c>
      <c r="F77" s="17"/>
      <c r="G77" s="18"/>
      <c r="H77" s="17"/>
      <c r="I77" s="19"/>
      <c r="J77" s="19"/>
      <c r="K77" s="20">
        <v>4300000</v>
      </c>
      <c r="L77" s="2"/>
    </row>
    <row r="78" spans="1:12" x14ac:dyDescent="0.25">
      <c r="A78" s="12">
        <v>72</v>
      </c>
      <c r="B78" s="26">
        <v>45625</v>
      </c>
      <c r="C78" s="16" t="s">
        <v>25</v>
      </c>
      <c r="D78" s="15" t="s">
        <v>291</v>
      </c>
      <c r="E78" s="15" t="s">
        <v>6</v>
      </c>
      <c r="F78" s="17"/>
      <c r="G78" s="18"/>
      <c r="H78" s="17"/>
      <c r="I78" s="19"/>
      <c r="J78" s="19"/>
      <c r="K78" s="20">
        <v>4300000</v>
      </c>
      <c r="L78" s="2"/>
    </row>
    <row r="79" spans="1:12" x14ac:dyDescent="0.25">
      <c r="A79" s="11">
        <v>73</v>
      </c>
      <c r="B79" s="26">
        <v>45625</v>
      </c>
      <c r="C79" s="16" t="s">
        <v>25</v>
      </c>
      <c r="D79" s="15" t="s">
        <v>292</v>
      </c>
      <c r="E79" s="15" t="s">
        <v>6</v>
      </c>
      <c r="F79" s="17"/>
      <c r="G79" s="18"/>
      <c r="H79" s="17"/>
      <c r="I79" s="19"/>
      <c r="J79" s="19"/>
      <c r="K79" s="20">
        <v>3500000</v>
      </c>
      <c r="L79" s="2"/>
    </row>
    <row r="80" spans="1:12" x14ac:dyDescent="0.25">
      <c r="A80" s="12">
        <v>74</v>
      </c>
      <c r="B80" s="26">
        <v>45625</v>
      </c>
      <c r="C80" s="16" t="s">
        <v>24</v>
      </c>
      <c r="D80" s="15" t="s">
        <v>293</v>
      </c>
      <c r="E80" s="15" t="s">
        <v>6</v>
      </c>
      <c r="F80" s="17"/>
      <c r="G80" s="18"/>
      <c r="H80" s="17"/>
      <c r="I80" s="19"/>
      <c r="J80" s="19"/>
      <c r="K80" s="20">
        <v>300000</v>
      </c>
      <c r="L80" s="2"/>
    </row>
    <row r="81" spans="1:12" x14ac:dyDescent="0.25">
      <c r="A81" s="11">
        <v>75</v>
      </c>
      <c r="B81" s="26">
        <v>45630</v>
      </c>
      <c r="C81" s="16" t="s">
        <v>80</v>
      </c>
      <c r="D81" s="15" t="s">
        <v>296</v>
      </c>
      <c r="E81" s="15" t="s">
        <v>6</v>
      </c>
      <c r="F81" s="17"/>
      <c r="G81" s="18"/>
      <c r="H81" s="17"/>
      <c r="I81" s="19"/>
      <c r="J81" s="19"/>
      <c r="K81" s="20">
        <v>1900000</v>
      </c>
      <c r="L81" s="2"/>
    </row>
    <row r="82" spans="1:12" x14ac:dyDescent="0.25">
      <c r="A82" s="12">
        <v>76</v>
      </c>
      <c r="B82" s="26">
        <v>45630</v>
      </c>
      <c r="C82" s="16" t="s">
        <v>24</v>
      </c>
      <c r="D82" s="15" t="s">
        <v>297</v>
      </c>
      <c r="E82" s="15" t="s">
        <v>6</v>
      </c>
      <c r="F82" s="17"/>
      <c r="G82" s="18"/>
      <c r="H82" s="17"/>
      <c r="I82" s="19"/>
      <c r="J82" s="19"/>
      <c r="K82" s="20">
        <v>2100000</v>
      </c>
      <c r="L82" s="2"/>
    </row>
    <row r="83" spans="1:12" x14ac:dyDescent="0.25">
      <c r="A83" s="11">
        <v>77</v>
      </c>
      <c r="B83" s="26">
        <v>45631</v>
      </c>
      <c r="C83" s="16" t="s">
        <v>80</v>
      </c>
      <c r="D83" s="15" t="s">
        <v>304</v>
      </c>
      <c r="E83" s="15" t="s">
        <v>6</v>
      </c>
      <c r="F83" s="17"/>
      <c r="G83" s="18"/>
      <c r="H83" s="17"/>
      <c r="I83" s="19"/>
      <c r="J83" s="19"/>
      <c r="K83" s="20">
        <v>600000</v>
      </c>
      <c r="L83" s="2"/>
    </row>
    <row r="84" spans="1:12" x14ac:dyDescent="0.25">
      <c r="A84" s="12">
        <v>78</v>
      </c>
      <c r="B84" s="26">
        <v>45631</v>
      </c>
      <c r="C84" s="16" t="s">
        <v>25</v>
      </c>
      <c r="D84" s="15" t="s">
        <v>305</v>
      </c>
      <c r="E84" s="15" t="s">
        <v>6</v>
      </c>
      <c r="F84" s="17"/>
      <c r="G84" s="18"/>
      <c r="H84" s="17"/>
      <c r="I84" s="19"/>
      <c r="J84" s="19"/>
      <c r="K84" s="20">
        <v>2300000</v>
      </c>
      <c r="L84" s="2"/>
    </row>
    <row r="85" spans="1:12" x14ac:dyDescent="0.25">
      <c r="A85" s="11">
        <v>79</v>
      </c>
      <c r="B85" s="26">
        <v>45632</v>
      </c>
      <c r="C85" s="16" t="s">
        <v>25</v>
      </c>
      <c r="D85" s="15" t="s">
        <v>309</v>
      </c>
      <c r="E85" s="15" t="s">
        <v>6</v>
      </c>
      <c r="F85" s="17"/>
      <c r="G85" s="18"/>
      <c r="H85" s="17"/>
      <c r="I85" s="19"/>
      <c r="J85" s="19"/>
      <c r="K85" s="20">
        <v>1000000</v>
      </c>
      <c r="L85" s="2"/>
    </row>
    <row r="86" spans="1:12" x14ac:dyDescent="0.25">
      <c r="A86" s="12">
        <v>80</v>
      </c>
      <c r="B86" s="218">
        <v>45637</v>
      </c>
      <c r="C86" s="74" t="s">
        <v>25</v>
      </c>
      <c r="D86" s="76" t="s">
        <v>316</v>
      </c>
      <c r="E86" s="15" t="s">
        <v>6</v>
      </c>
      <c r="F86" s="17"/>
      <c r="G86" s="15"/>
      <c r="H86" s="17"/>
      <c r="I86" s="15"/>
      <c r="J86" s="17"/>
      <c r="K86" s="77">
        <v>3000000</v>
      </c>
      <c r="L86" s="2"/>
    </row>
    <row r="87" spans="1:12" x14ac:dyDescent="0.25">
      <c r="A87" s="11">
        <v>81</v>
      </c>
      <c r="B87" s="26">
        <v>45639</v>
      </c>
      <c r="C87" s="16" t="s">
        <v>80</v>
      </c>
      <c r="D87" s="15" t="s">
        <v>317</v>
      </c>
      <c r="E87" s="15" t="s">
        <v>6</v>
      </c>
      <c r="F87" s="17"/>
      <c r="G87" s="15"/>
      <c r="H87" s="17"/>
      <c r="I87" s="19"/>
      <c r="J87" s="19"/>
      <c r="K87" s="20">
        <v>6000000</v>
      </c>
      <c r="L87" s="2"/>
    </row>
    <row r="88" spans="1:12" x14ac:dyDescent="0.25">
      <c r="A88" s="12">
        <v>82</v>
      </c>
      <c r="B88" s="26">
        <v>45640</v>
      </c>
      <c r="C88" s="74" t="s">
        <v>25</v>
      </c>
      <c r="D88" s="15" t="s">
        <v>319</v>
      </c>
      <c r="E88" s="15" t="s">
        <v>6</v>
      </c>
      <c r="F88" s="17"/>
      <c r="G88" s="18"/>
      <c r="H88" s="17"/>
      <c r="I88" s="19"/>
      <c r="J88" s="19"/>
      <c r="K88" s="20">
        <v>5280000</v>
      </c>
      <c r="L88" s="2"/>
    </row>
    <row r="89" spans="1:12" x14ac:dyDescent="0.25">
      <c r="A89" s="11">
        <v>83</v>
      </c>
      <c r="B89" s="26">
        <v>45644</v>
      </c>
      <c r="C89" s="74" t="s">
        <v>25</v>
      </c>
      <c r="D89" s="15" t="s">
        <v>322</v>
      </c>
      <c r="E89" s="15" t="s">
        <v>6</v>
      </c>
      <c r="F89" s="17"/>
      <c r="G89" s="18"/>
      <c r="H89" s="17"/>
      <c r="I89" s="19"/>
      <c r="J89" s="19"/>
      <c r="K89" s="20">
        <v>1500000</v>
      </c>
      <c r="L89" s="2"/>
    </row>
    <row r="90" spans="1:12" x14ac:dyDescent="0.25">
      <c r="A90" s="12">
        <v>84</v>
      </c>
      <c r="B90" s="26">
        <v>45651</v>
      </c>
      <c r="C90" s="16" t="s">
        <v>80</v>
      </c>
      <c r="D90" s="15" t="s">
        <v>324</v>
      </c>
      <c r="E90" s="15" t="s">
        <v>6</v>
      </c>
      <c r="F90" s="17"/>
      <c r="G90" s="18"/>
      <c r="H90" s="17"/>
      <c r="I90" s="19"/>
      <c r="J90" s="19"/>
      <c r="K90" s="20">
        <v>12000000</v>
      </c>
      <c r="L90" s="2"/>
    </row>
    <row r="91" spans="1:12" x14ac:dyDescent="0.25">
      <c r="A91" s="11">
        <v>85</v>
      </c>
      <c r="B91" s="26">
        <v>45652</v>
      </c>
      <c r="C91" s="74" t="s">
        <v>25</v>
      </c>
      <c r="D91" s="15" t="s">
        <v>327</v>
      </c>
      <c r="E91" s="15" t="s">
        <v>6</v>
      </c>
      <c r="F91" s="17"/>
      <c r="G91" s="18"/>
      <c r="H91" s="17"/>
      <c r="I91" s="19"/>
      <c r="J91" s="19"/>
      <c r="K91" s="20">
        <v>4300000</v>
      </c>
      <c r="L91" s="2"/>
    </row>
    <row r="92" spans="1:12" x14ac:dyDescent="0.25">
      <c r="A92" s="12">
        <v>86</v>
      </c>
      <c r="B92" s="26">
        <v>45658</v>
      </c>
      <c r="C92" s="74" t="s">
        <v>25</v>
      </c>
      <c r="D92" s="15" t="s">
        <v>335</v>
      </c>
      <c r="E92" s="15" t="s">
        <v>6</v>
      </c>
      <c r="F92" s="17"/>
      <c r="G92" s="18"/>
      <c r="H92" s="17"/>
      <c r="I92" s="19"/>
      <c r="J92" s="19"/>
      <c r="K92" s="20">
        <v>2000000</v>
      </c>
      <c r="L92" s="2"/>
    </row>
    <row r="93" spans="1:12" x14ac:dyDescent="0.25">
      <c r="A93" s="11">
        <v>87</v>
      </c>
      <c r="B93" s="26"/>
      <c r="C93" s="16"/>
      <c r="D93" s="15"/>
      <c r="E93" s="15"/>
      <c r="F93" s="17"/>
      <c r="G93" s="18"/>
      <c r="H93" s="17"/>
      <c r="I93" s="19"/>
      <c r="J93" s="19"/>
      <c r="K93" s="20"/>
      <c r="L93" s="2"/>
    </row>
    <row r="94" spans="1:12" x14ac:dyDescent="0.25">
      <c r="A94" s="12">
        <v>88</v>
      </c>
      <c r="B94" s="26"/>
      <c r="C94" s="16"/>
      <c r="D94" s="15"/>
      <c r="E94" s="15"/>
      <c r="F94" s="17"/>
      <c r="G94" s="18"/>
      <c r="H94" s="17"/>
      <c r="I94" s="19"/>
      <c r="J94" s="19"/>
      <c r="K94" s="20"/>
    </row>
    <row r="95" spans="1:12" x14ac:dyDescent="0.25">
      <c r="A95" s="11">
        <v>89</v>
      </c>
      <c r="B95" s="26"/>
      <c r="C95" s="16"/>
      <c r="D95" s="15"/>
      <c r="E95" s="15"/>
      <c r="F95" s="17"/>
      <c r="G95" s="18"/>
      <c r="H95" s="17"/>
      <c r="I95" s="19"/>
      <c r="J95" s="19"/>
      <c r="K95" s="20"/>
    </row>
    <row r="96" spans="1:12" x14ac:dyDescent="0.25">
      <c r="A96" s="12">
        <v>90</v>
      </c>
      <c r="B96" s="25"/>
      <c r="C96" s="16"/>
      <c r="D96" s="15"/>
      <c r="E96" s="15"/>
      <c r="F96" s="17"/>
      <c r="G96" s="18"/>
      <c r="H96" s="17"/>
      <c r="I96" s="19"/>
      <c r="J96" s="19"/>
      <c r="K96" s="20"/>
    </row>
    <row r="97" spans="1:11" ht="15.75" thickBot="1" x14ac:dyDescent="0.3">
      <c r="A97" s="35" t="s">
        <v>9</v>
      </c>
      <c r="B97" s="25"/>
      <c r="C97" s="16"/>
      <c r="D97" s="15"/>
      <c r="E97" s="15"/>
      <c r="F97" s="17"/>
      <c r="G97" s="18"/>
      <c r="H97" s="17"/>
      <c r="I97" s="19"/>
      <c r="J97" s="19"/>
      <c r="K97" s="20"/>
    </row>
    <row r="98" spans="1:11" x14ac:dyDescent="0.25">
      <c r="A98" s="36" t="s">
        <v>1</v>
      </c>
      <c r="B98" s="27" t="s">
        <v>7</v>
      </c>
      <c r="C98" s="28"/>
      <c r="D98" s="28"/>
      <c r="E98" s="28"/>
      <c r="F98" s="28"/>
      <c r="G98" s="28"/>
      <c r="H98" s="28"/>
      <c r="I98" s="29"/>
      <c r="J98" s="29"/>
      <c r="K98" s="30">
        <f>SUM(K5:K97)</f>
        <v>255536062.24000001</v>
      </c>
    </row>
    <row r="99" spans="1:11" ht="15.75" thickBot="1" x14ac:dyDescent="0.3">
      <c r="A99" s="42"/>
    </row>
    <row r="100" spans="1:11" ht="23.25" x14ac:dyDescent="0.35">
      <c r="A100" s="48"/>
      <c r="E100" s="32" t="s">
        <v>8</v>
      </c>
      <c r="F100" s="31"/>
      <c r="G100" s="31"/>
    </row>
    <row r="101" spans="1:11" ht="15.75" thickBot="1" x14ac:dyDescent="0.3">
      <c r="A101" s="33">
        <v>2</v>
      </c>
      <c r="B101" s="33"/>
      <c r="C101" s="33"/>
      <c r="D101" s="33"/>
      <c r="E101" s="33"/>
      <c r="F101" s="33"/>
      <c r="G101" s="33"/>
      <c r="H101" s="33"/>
      <c r="I101" s="34"/>
      <c r="J101" s="34"/>
      <c r="K101" s="33"/>
    </row>
    <row r="102" spans="1:11" ht="63.75" x14ac:dyDescent="0.25">
      <c r="A102" s="48">
        <v>3</v>
      </c>
      <c r="B102" s="37" t="s">
        <v>10</v>
      </c>
      <c r="C102" s="37" t="s">
        <v>11</v>
      </c>
      <c r="D102" s="37"/>
      <c r="E102" s="221" t="s">
        <v>12</v>
      </c>
      <c r="F102" s="38" t="s">
        <v>13</v>
      </c>
      <c r="G102" s="39" t="s">
        <v>14</v>
      </c>
      <c r="H102" s="37" t="s">
        <v>15</v>
      </c>
      <c r="I102" s="40" t="s">
        <v>16</v>
      </c>
      <c r="J102" s="41" t="s">
        <v>17</v>
      </c>
      <c r="K102" s="41" t="s">
        <v>18</v>
      </c>
    </row>
    <row r="103" spans="1:11" ht="15.75" thickBot="1" x14ac:dyDescent="0.3">
      <c r="A103" s="33">
        <v>4</v>
      </c>
      <c r="B103" s="43"/>
      <c r="C103" s="43"/>
      <c r="D103" s="44" t="s">
        <v>19</v>
      </c>
      <c r="E103" s="222"/>
      <c r="F103" s="44"/>
      <c r="G103" s="45"/>
      <c r="H103" s="43"/>
      <c r="I103" s="46"/>
      <c r="J103" s="47"/>
      <c r="K103" s="47"/>
    </row>
    <row r="104" spans="1:11" x14ac:dyDescent="0.25">
      <c r="A104" s="48">
        <v>5</v>
      </c>
      <c r="B104" s="49">
        <v>789278</v>
      </c>
      <c r="C104" s="50">
        <v>45481</v>
      </c>
      <c r="D104" s="49" t="s">
        <v>44</v>
      </c>
      <c r="E104" s="49" t="s">
        <v>45</v>
      </c>
      <c r="F104" s="51" t="s">
        <v>43</v>
      </c>
      <c r="G104" s="52" t="s">
        <v>46</v>
      </c>
      <c r="H104" s="53" t="s">
        <v>33</v>
      </c>
      <c r="I104" s="158">
        <v>46483</v>
      </c>
      <c r="J104" s="54">
        <v>71.616699999999994</v>
      </c>
      <c r="K104" s="55">
        <f t="shared" ref="K104:K187" si="0">I104*J104</f>
        <v>3328959.0660999999</v>
      </c>
    </row>
    <row r="105" spans="1:11" x14ac:dyDescent="0.25">
      <c r="A105" s="33">
        <v>6</v>
      </c>
      <c r="B105" s="49">
        <v>790007</v>
      </c>
      <c r="C105" s="50">
        <v>45482</v>
      </c>
      <c r="D105" s="49" t="s">
        <v>35</v>
      </c>
      <c r="E105" s="49" t="s">
        <v>36</v>
      </c>
      <c r="F105" s="51" t="s">
        <v>43</v>
      </c>
      <c r="G105" s="52" t="s">
        <v>47</v>
      </c>
      <c r="H105" s="53" t="s">
        <v>33</v>
      </c>
      <c r="I105" s="158">
        <v>47580</v>
      </c>
      <c r="J105" s="54">
        <v>71.616699999999994</v>
      </c>
      <c r="K105" s="55">
        <f t="shared" si="0"/>
        <v>3407522.5859999997</v>
      </c>
    </row>
    <row r="106" spans="1:11" x14ac:dyDescent="0.25">
      <c r="A106" s="48">
        <v>7</v>
      </c>
      <c r="B106" s="49">
        <v>790976</v>
      </c>
      <c r="C106" s="50">
        <v>45485</v>
      </c>
      <c r="D106" s="49" t="s">
        <v>48</v>
      </c>
      <c r="E106" s="49" t="s">
        <v>49</v>
      </c>
      <c r="F106" s="51" t="s">
        <v>43</v>
      </c>
      <c r="G106" s="52" t="s">
        <v>50</v>
      </c>
      <c r="H106" s="53" t="s">
        <v>32</v>
      </c>
      <c r="I106" s="158">
        <v>45977</v>
      </c>
      <c r="J106" s="54">
        <v>76.544700000000006</v>
      </c>
      <c r="K106" s="55">
        <f>I106*J106</f>
        <v>3519295.6719000004</v>
      </c>
    </row>
    <row r="107" spans="1:11" x14ac:dyDescent="0.25">
      <c r="A107" s="33">
        <v>8</v>
      </c>
      <c r="B107" s="49">
        <v>791486</v>
      </c>
      <c r="C107" s="50">
        <v>45486</v>
      </c>
      <c r="D107" s="49" t="s">
        <v>51</v>
      </c>
      <c r="E107" s="49" t="s">
        <v>52</v>
      </c>
      <c r="F107" s="51" t="s">
        <v>43</v>
      </c>
      <c r="G107" s="52" t="s">
        <v>24</v>
      </c>
      <c r="H107" s="53" t="s">
        <v>32</v>
      </c>
      <c r="I107" s="158">
        <v>46047</v>
      </c>
      <c r="J107" s="54"/>
      <c r="K107" s="55">
        <f>I107*J107</f>
        <v>0</v>
      </c>
    </row>
    <row r="108" spans="1:11" x14ac:dyDescent="0.25">
      <c r="A108" s="48">
        <v>9</v>
      </c>
      <c r="B108" s="49">
        <v>791850</v>
      </c>
      <c r="C108" s="50">
        <v>45486</v>
      </c>
      <c r="D108" s="49" t="s">
        <v>53</v>
      </c>
      <c r="E108" s="49" t="s">
        <v>54</v>
      </c>
      <c r="F108" s="51" t="s">
        <v>43</v>
      </c>
      <c r="G108" s="52" t="s">
        <v>24</v>
      </c>
      <c r="H108" s="53" t="s">
        <v>32</v>
      </c>
      <c r="I108" s="158">
        <v>45918</v>
      </c>
      <c r="J108" s="54"/>
      <c r="K108" s="55">
        <f t="shared" si="0"/>
        <v>0</v>
      </c>
    </row>
    <row r="109" spans="1:11" x14ac:dyDescent="0.25">
      <c r="A109" s="33">
        <v>10</v>
      </c>
      <c r="B109" s="49">
        <v>791485</v>
      </c>
      <c r="C109" s="50">
        <v>45487</v>
      </c>
      <c r="D109" s="49" t="s">
        <v>73</v>
      </c>
      <c r="E109" s="49" t="s">
        <v>55</v>
      </c>
      <c r="F109" s="51" t="s">
        <v>43</v>
      </c>
      <c r="G109" s="52" t="s">
        <v>24</v>
      </c>
      <c r="H109" s="53" t="s">
        <v>32</v>
      </c>
      <c r="I109" s="158">
        <v>46792</v>
      </c>
      <c r="J109" s="54"/>
      <c r="K109" s="57">
        <f t="shared" si="0"/>
        <v>0</v>
      </c>
    </row>
    <row r="110" spans="1:11" x14ac:dyDescent="0.25">
      <c r="A110" s="48">
        <v>11</v>
      </c>
      <c r="B110" s="49">
        <v>786564</v>
      </c>
      <c r="C110" s="50">
        <v>45487</v>
      </c>
      <c r="D110" s="49" t="s">
        <v>34</v>
      </c>
      <c r="E110" s="33" t="s">
        <v>67</v>
      </c>
      <c r="F110" s="51" t="s">
        <v>43</v>
      </c>
      <c r="G110" s="52" t="s">
        <v>56</v>
      </c>
      <c r="H110" s="53" t="s">
        <v>57</v>
      </c>
      <c r="I110" s="158">
        <v>45946</v>
      </c>
      <c r="J110" s="54">
        <v>57.747300000000003</v>
      </c>
      <c r="K110" s="57">
        <f>I110*J110</f>
        <v>2653257.4458000003</v>
      </c>
    </row>
    <row r="111" spans="1:11" x14ac:dyDescent="0.25">
      <c r="A111" s="33">
        <v>12</v>
      </c>
      <c r="B111" s="49">
        <v>790976</v>
      </c>
      <c r="C111" s="50">
        <v>45493</v>
      </c>
      <c r="D111" s="49" t="s">
        <v>71</v>
      </c>
      <c r="E111" s="49" t="s">
        <v>72</v>
      </c>
      <c r="F111" s="51" t="s">
        <v>43</v>
      </c>
      <c r="G111" s="52" t="s">
        <v>74</v>
      </c>
      <c r="H111" s="53" t="s">
        <v>33</v>
      </c>
      <c r="I111" s="159">
        <v>45667</v>
      </c>
      <c r="J111" s="54">
        <v>75.407700000000006</v>
      </c>
      <c r="K111" s="57">
        <f t="shared" si="0"/>
        <v>3443643.4359000004</v>
      </c>
    </row>
    <row r="112" spans="1:11" x14ac:dyDescent="0.25">
      <c r="A112" s="48">
        <v>13</v>
      </c>
      <c r="B112" s="49">
        <v>793663</v>
      </c>
      <c r="C112" s="50">
        <v>45493</v>
      </c>
      <c r="D112" s="49" t="s">
        <v>75</v>
      </c>
      <c r="E112" s="49" t="s">
        <v>76</v>
      </c>
      <c r="F112" s="51" t="s">
        <v>43</v>
      </c>
      <c r="G112" s="56" t="s">
        <v>77</v>
      </c>
      <c r="H112" s="53" t="s">
        <v>32</v>
      </c>
      <c r="I112" s="158">
        <v>50550</v>
      </c>
      <c r="J112" s="54">
        <v>76.544700000000006</v>
      </c>
      <c r="K112" s="57">
        <f t="shared" si="0"/>
        <v>3869334.5850000004</v>
      </c>
    </row>
    <row r="113" spans="1:11" x14ac:dyDescent="0.25">
      <c r="A113" s="33">
        <v>14</v>
      </c>
      <c r="B113" s="49">
        <v>796212</v>
      </c>
      <c r="C113" s="50">
        <v>45498</v>
      </c>
      <c r="D113" s="49" t="s">
        <v>73</v>
      </c>
      <c r="E113" s="49" t="s">
        <v>55</v>
      </c>
      <c r="F113" s="51" t="s">
        <v>43</v>
      </c>
      <c r="G113" s="52" t="s">
        <v>47</v>
      </c>
      <c r="H113" s="53" t="s">
        <v>32</v>
      </c>
      <c r="I113" s="158">
        <v>46811</v>
      </c>
      <c r="J113" s="54">
        <v>76.544700000000006</v>
      </c>
      <c r="K113" s="57">
        <f t="shared" si="0"/>
        <v>3583133.9517000001</v>
      </c>
    </row>
    <row r="114" spans="1:11" x14ac:dyDescent="0.25">
      <c r="A114" s="48">
        <v>15</v>
      </c>
      <c r="B114" s="49">
        <v>796916</v>
      </c>
      <c r="C114" s="50">
        <v>45501</v>
      </c>
      <c r="D114" s="49" t="s">
        <v>92</v>
      </c>
      <c r="E114" s="49" t="s">
        <v>93</v>
      </c>
      <c r="F114" s="51" t="s">
        <v>43</v>
      </c>
      <c r="G114" s="52" t="s">
        <v>56</v>
      </c>
      <c r="H114" s="53" t="s">
        <v>57</v>
      </c>
      <c r="I114" s="158">
        <v>45961</v>
      </c>
      <c r="J114" s="54">
        <v>57.747300000000003</v>
      </c>
      <c r="K114" s="57">
        <f t="shared" si="0"/>
        <v>2654123.6553000002</v>
      </c>
    </row>
    <row r="115" spans="1:11" x14ac:dyDescent="0.25">
      <c r="A115" s="33">
        <v>16</v>
      </c>
      <c r="B115" s="49">
        <v>797320</v>
      </c>
      <c r="C115" s="50">
        <v>45501</v>
      </c>
      <c r="D115" s="49" t="s">
        <v>44</v>
      </c>
      <c r="E115" s="49" t="s">
        <v>45</v>
      </c>
      <c r="F115" s="51" t="s">
        <v>43</v>
      </c>
      <c r="G115" s="56" t="s">
        <v>96</v>
      </c>
      <c r="H115" s="53" t="s">
        <v>32</v>
      </c>
      <c r="I115" s="158">
        <v>46860</v>
      </c>
      <c r="J115" s="54">
        <v>76.544700000000006</v>
      </c>
      <c r="K115" s="57">
        <f t="shared" si="0"/>
        <v>3586884.6420000005</v>
      </c>
    </row>
    <row r="116" spans="1:11" x14ac:dyDescent="0.25">
      <c r="A116" s="48">
        <v>17</v>
      </c>
      <c r="B116" s="49">
        <v>797987</v>
      </c>
      <c r="C116" s="50">
        <v>45503</v>
      </c>
      <c r="D116" s="49" t="s">
        <v>48</v>
      </c>
      <c r="E116" s="49" t="s">
        <v>49</v>
      </c>
      <c r="F116" s="51" t="s">
        <v>43</v>
      </c>
      <c r="G116" s="56" t="s">
        <v>98</v>
      </c>
      <c r="H116" s="53" t="s">
        <v>32</v>
      </c>
      <c r="I116" s="158">
        <v>45963</v>
      </c>
      <c r="J116" s="54">
        <v>76.544700000000006</v>
      </c>
      <c r="K116" s="57">
        <f t="shared" si="0"/>
        <v>3518224.0461000004</v>
      </c>
    </row>
    <row r="117" spans="1:11" x14ac:dyDescent="0.25">
      <c r="A117" s="33">
        <v>18</v>
      </c>
      <c r="B117" s="49">
        <v>798914</v>
      </c>
      <c r="C117" s="50">
        <v>45504</v>
      </c>
      <c r="D117" s="49" t="s">
        <v>101</v>
      </c>
      <c r="E117" s="49" t="s">
        <v>102</v>
      </c>
      <c r="F117" s="51" t="s">
        <v>43</v>
      </c>
      <c r="G117" s="56" t="s">
        <v>77</v>
      </c>
      <c r="H117" s="53" t="s">
        <v>33</v>
      </c>
      <c r="I117" s="158">
        <v>45726</v>
      </c>
      <c r="J117" s="54">
        <v>75.407700000000006</v>
      </c>
      <c r="K117" s="57">
        <f t="shared" si="0"/>
        <v>3448092.4902000003</v>
      </c>
    </row>
    <row r="118" spans="1:11" x14ac:dyDescent="0.25">
      <c r="A118" s="48">
        <v>19</v>
      </c>
      <c r="B118" s="49">
        <v>797574</v>
      </c>
      <c r="C118" s="50">
        <v>45507</v>
      </c>
      <c r="D118" s="49" t="s">
        <v>35</v>
      </c>
      <c r="E118" s="49" t="s">
        <v>36</v>
      </c>
      <c r="F118" s="51" t="s">
        <v>43</v>
      </c>
      <c r="G118" s="56" t="s">
        <v>111</v>
      </c>
      <c r="H118" s="53" t="s">
        <v>57</v>
      </c>
      <c r="I118" s="158">
        <v>48094</v>
      </c>
      <c r="J118" s="54">
        <v>57.747300000000003</v>
      </c>
      <c r="K118" s="57">
        <f t="shared" si="0"/>
        <v>2777298.6462000003</v>
      </c>
    </row>
    <row r="119" spans="1:11" x14ac:dyDescent="0.25">
      <c r="A119" s="33">
        <v>20</v>
      </c>
      <c r="B119" s="49">
        <v>799506</v>
      </c>
      <c r="C119" s="50">
        <v>45510</v>
      </c>
      <c r="D119" s="49" t="s">
        <v>114</v>
      </c>
      <c r="E119" s="49" t="s">
        <v>52</v>
      </c>
      <c r="F119" s="51" t="s">
        <v>43</v>
      </c>
      <c r="G119" s="52" t="s">
        <v>47</v>
      </c>
      <c r="H119" s="53" t="s">
        <v>33</v>
      </c>
      <c r="I119" s="158">
        <v>45780</v>
      </c>
      <c r="J119" s="54">
        <v>75.407700000000006</v>
      </c>
      <c r="K119" s="57">
        <f t="shared" si="0"/>
        <v>3452164.5060000001</v>
      </c>
    </row>
    <row r="120" spans="1:11" x14ac:dyDescent="0.25">
      <c r="A120" s="48">
        <v>21</v>
      </c>
      <c r="B120" s="49">
        <v>801261</v>
      </c>
      <c r="C120" s="50">
        <v>45512</v>
      </c>
      <c r="D120" s="49" t="s">
        <v>71</v>
      </c>
      <c r="E120" s="49" t="s">
        <v>72</v>
      </c>
      <c r="F120" s="51" t="s">
        <v>43</v>
      </c>
      <c r="G120" s="52" t="s">
        <v>56</v>
      </c>
      <c r="H120" s="53" t="s">
        <v>57</v>
      </c>
      <c r="I120" s="158">
        <v>45771</v>
      </c>
      <c r="J120" s="54">
        <v>57.747300000000003</v>
      </c>
      <c r="K120" s="57">
        <f t="shared" si="0"/>
        <v>2643151.6683</v>
      </c>
    </row>
    <row r="121" spans="1:11" x14ac:dyDescent="0.25">
      <c r="A121" s="33">
        <v>22</v>
      </c>
      <c r="B121" s="49">
        <v>802080</v>
      </c>
      <c r="C121" s="50">
        <v>45516</v>
      </c>
      <c r="D121" s="49" t="s">
        <v>125</v>
      </c>
      <c r="E121" s="49" t="s">
        <v>67</v>
      </c>
      <c r="F121" s="51" t="s">
        <v>43</v>
      </c>
      <c r="G121" s="52" t="s">
        <v>46</v>
      </c>
      <c r="H121" s="53" t="s">
        <v>33</v>
      </c>
      <c r="I121" s="158">
        <v>45688</v>
      </c>
      <c r="J121" s="54">
        <v>75.407700000000006</v>
      </c>
      <c r="K121" s="57">
        <f t="shared" si="0"/>
        <v>3445226.9976000004</v>
      </c>
    </row>
    <row r="122" spans="1:11" x14ac:dyDescent="0.25">
      <c r="A122" s="48">
        <v>23</v>
      </c>
      <c r="B122" s="49">
        <v>802099</v>
      </c>
      <c r="C122" s="50">
        <v>45517</v>
      </c>
      <c r="D122" s="49" t="s">
        <v>131</v>
      </c>
      <c r="E122" s="49" t="s">
        <v>132</v>
      </c>
      <c r="F122" s="51" t="s">
        <v>43</v>
      </c>
      <c r="G122" s="52" t="s">
        <v>74</v>
      </c>
      <c r="H122" s="53" t="s">
        <v>32</v>
      </c>
      <c r="I122" s="158">
        <v>46632</v>
      </c>
      <c r="J122" s="54">
        <v>76.544700000000006</v>
      </c>
      <c r="K122" s="57">
        <f t="shared" si="0"/>
        <v>3569432.4504000004</v>
      </c>
    </row>
    <row r="123" spans="1:11" x14ac:dyDescent="0.25">
      <c r="A123" s="33">
        <v>24</v>
      </c>
      <c r="B123" s="49">
        <v>803064</v>
      </c>
      <c r="C123" s="50">
        <v>45519</v>
      </c>
      <c r="D123" s="49" t="s">
        <v>73</v>
      </c>
      <c r="E123" s="49" t="s">
        <v>55</v>
      </c>
      <c r="F123" s="51" t="s">
        <v>43</v>
      </c>
      <c r="G123" s="56" t="s">
        <v>77</v>
      </c>
      <c r="H123" s="53" t="s">
        <v>32</v>
      </c>
      <c r="I123" s="158">
        <v>46860</v>
      </c>
      <c r="J123" s="54">
        <v>76.544700000000006</v>
      </c>
      <c r="K123" s="57">
        <f t="shared" si="0"/>
        <v>3586884.6420000005</v>
      </c>
    </row>
    <row r="124" spans="1:11" x14ac:dyDescent="0.25">
      <c r="A124" s="48">
        <v>25</v>
      </c>
      <c r="B124" s="49">
        <v>803539</v>
      </c>
      <c r="C124" s="50">
        <v>45519</v>
      </c>
      <c r="D124" s="49" t="s">
        <v>75</v>
      </c>
      <c r="E124" s="49" t="s">
        <v>76</v>
      </c>
      <c r="F124" s="51" t="s">
        <v>43</v>
      </c>
      <c r="G124" s="52" t="s">
        <v>47</v>
      </c>
      <c r="H124" s="53" t="s">
        <v>32</v>
      </c>
      <c r="I124" s="158">
        <v>50662</v>
      </c>
      <c r="J124" s="54">
        <v>76.544700000000006</v>
      </c>
      <c r="K124" s="57">
        <f t="shared" si="0"/>
        <v>3877907.5914000003</v>
      </c>
    </row>
    <row r="125" spans="1:11" x14ac:dyDescent="0.25">
      <c r="A125" s="33">
        <v>26</v>
      </c>
      <c r="B125" s="49">
        <v>805662</v>
      </c>
      <c r="C125" s="50">
        <v>45525</v>
      </c>
      <c r="D125" s="49" t="s">
        <v>146</v>
      </c>
      <c r="E125" s="49" t="s">
        <v>147</v>
      </c>
      <c r="F125" s="51" t="s">
        <v>43</v>
      </c>
      <c r="G125" s="56" t="s">
        <v>77</v>
      </c>
      <c r="H125" s="53" t="s">
        <v>32</v>
      </c>
      <c r="I125" s="158">
        <v>45948</v>
      </c>
      <c r="J125" s="54">
        <v>76.544700000000006</v>
      </c>
      <c r="K125" s="57">
        <f t="shared" si="0"/>
        <v>3517075.8756000004</v>
      </c>
    </row>
    <row r="126" spans="1:11" x14ac:dyDescent="0.25">
      <c r="A126" s="48">
        <v>27</v>
      </c>
      <c r="B126" s="49">
        <v>806442</v>
      </c>
      <c r="C126" s="50">
        <v>45526</v>
      </c>
      <c r="D126" s="49" t="s">
        <v>150</v>
      </c>
      <c r="E126" s="49" t="s">
        <v>151</v>
      </c>
      <c r="F126" s="51" t="s">
        <v>43</v>
      </c>
      <c r="G126" s="56" t="s">
        <v>152</v>
      </c>
      <c r="H126" s="53" t="s">
        <v>32</v>
      </c>
      <c r="I126" s="158">
        <v>47253</v>
      </c>
      <c r="J126" s="54"/>
      <c r="K126" s="57">
        <f t="shared" si="0"/>
        <v>0</v>
      </c>
    </row>
    <row r="127" spans="1:11" x14ac:dyDescent="0.25">
      <c r="A127" s="33">
        <v>28</v>
      </c>
      <c r="B127" s="49">
        <v>806904</v>
      </c>
      <c r="C127" s="50">
        <v>45527</v>
      </c>
      <c r="D127" s="49" t="s">
        <v>44</v>
      </c>
      <c r="E127" s="49" t="s">
        <v>45</v>
      </c>
      <c r="F127" s="51" t="s">
        <v>43</v>
      </c>
      <c r="G127" s="56" t="s">
        <v>152</v>
      </c>
      <c r="H127" s="53" t="s">
        <v>32</v>
      </c>
      <c r="I127" s="158">
        <v>46854</v>
      </c>
      <c r="J127" s="54"/>
      <c r="K127" s="57">
        <f t="shared" si="0"/>
        <v>0</v>
      </c>
    </row>
    <row r="128" spans="1:11" x14ac:dyDescent="0.25">
      <c r="A128" s="48">
        <v>29</v>
      </c>
      <c r="B128" s="49">
        <v>807109</v>
      </c>
      <c r="C128" s="50">
        <v>45528</v>
      </c>
      <c r="D128" s="49" t="s">
        <v>125</v>
      </c>
      <c r="E128" s="49" t="s">
        <v>67</v>
      </c>
      <c r="F128" s="51" t="s">
        <v>43</v>
      </c>
      <c r="G128" s="52" t="s">
        <v>46</v>
      </c>
      <c r="H128" s="53" t="s">
        <v>32</v>
      </c>
      <c r="I128" s="158">
        <v>45927</v>
      </c>
      <c r="J128" s="54">
        <v>76.544700000000006</v>
      </c>
      <c r="K128" s="57">
        <f t="shared" si="0"/>
        <v>3515468.4369000001</v>
      </c>
    </row>
    <row r="129" spans="1:11" x14ac:dyDescent="0.25">
      <c r="A129" s="33">
        <v>30</v>
      </c>
      <c r="B129" s="49">
        <v>805665</v>
      </c>
      <c r="C129" s="50">
        <v>45531</v>
      </c>
      <c r="D129" s="49" t="s">
        <v>92</v>
      </c>
      <c r="E129" s="49" t="s">
        <v>93</v>
      </c>
      <c r="F129" s="51" t="s">
        <v>43</v>
      </c>
      <c r="G129" s="52" t="s">
        <v>74</v>
      </c>
      <c r="H129" s="53" t="s">
        <v>33</v>
      </c>
      <c r="I129" s="158">
        <v>45833</v>
      </c>
      <c r="J129" s="54">
        <v>75.407700000000006</v>
      </c>
      <c r="K129" s="57">
        <f t="shared" si="0"/>
        <v>3456161.1141000004</v>
      </c>
    </row>
    <row r="130" spans="1:11" x14ac:dyDescent="0.25">
      <c r="A130" s="48">
        <v>31</v>
      </c>
      <c r="B130" s="49">
        <v>809553</v>
      </c>
      <c r="C130" s="50">
        <v>45535</v>
      </c>
      <c r="D130" s="49" t="s">
        <v>160</v>
      </c>
      <c r="E130" s="49" t="s">
        <v>102</v>
      </c>
      <c r="F130" s="51" t="s">
        <v>43</v>
      </c>
      <c r="G130" s="56" t="s">
        <v>161</v>
      </c>
      <c r="H130" s="53" t="s">
        <v>33</v>
      </c>
      <c r="I130" s="158">
        <v>45892</v>
      </c>
      <c r="J130" s="54">
        <v>75.407700000000006</v>
      </c>
      <c r="K130" s="57">
        <f t="shared" si="0"/>
        <v>3460610.1684000003</v>
      </c>
    </row>
    <row r="131" spans="1:11" x14ac:dyDescent="0.25">
      <c r="A131" s="33">
        <v>32</v>
      </c>
      <c r="B131" s="49">
        <v>809183</v>
      </c>
      <c r="C131" s="50">
        <v>45535</v>
      </c>
      <c r="D131" s="49" t="s">
        <v>71</v>
      </c>
      <c r="E131" s="49" t="s">
        <v>72</v>
      </c>
      <c r="F131" s="51" t="s">
        <v>43</v>
      </c>
      <c r="G131" s="56" t="s">
        <v>162</v>
      </c>
      <c r="H131" s="53" t="s">
        <v>163</v>
      </c>
      <c r="I131" s="158">
        <v>46344</v>
      </c>
      <c r="J131" s="54">
        <v>58.989400000000003</v>
      </c>
      <c r="K131" s="57">
        <f t="shared" si="0"/>
        <v>2733804.7535999999</v>
      </c>
    </row>
    <row r="132" spans="1:11" x14ac:dyDescent="0.25">
      <c r="A132" s="48">
        <v>33</v>
      </c>
      <c r="B132" s="49">
        <v>772808</v>
      </c>
      <c r="C132" s="50">
        <v>45538</v>
      </c>
      <c r="D132" s="49" t="s">
        <v>186</v>
      </c>
      <c r="E132" s="49" t="s">
        <v>187</v>
      </c>
      <c r="F132" s="51" t="s">
        <v>43</v>
      </c>
      <c r="G132" s="56" t="s">
        <v>152</v>
      </c>
      <c r="H132" s="53" t="s">
        <v>32</v>
      </c>
      <c r="I132" s="158">
        <v>48078</v>
      </c>
      <c r="J132" s="54"/>
      <c r="K132" s="57">
        <f t="shared" si="0"/>
        <v>0</v>
      </c>
    </row>
    <row r="133" spans="1:11" x14ac:dyDescent="0.25">
      <c r="A133" s="33">
        <v>34</v>
      </c>
      <c r="B133" s="49">
        <v>810608</v>
      </c>
      <c r="C133" s="50">
        <v>45539</v>
      </c>
      <c r="D133" s="49" t="s">
        <v>114</v>
      </c>
      <c r="E133" s="49" t="s">
        <v>52</v>
      </c>
      <c r="F133" s="51" t="s">
        <v>43</v>
      </c>
      <c r="G133" s="52" t="s">
        <v>47</v>
      </c>
      <c r="H133" s="53" t="s">
        <v>32</v>
      </c>
      <c r="I133" s="158">
        <v>46058</v>
      </c>
      <c r="J133" s="54">
        <v>76.544700000000006</v>
      </c>
      <c r="K133" s="57">
        <f t="shared" si="0"/>
        <v>3525495.7926000003</v>
      </c>
    </row>
    <row r="134" spans="1:11" x14ac:dyDescent="0.25">
      <c r="A134" s="48">
        <v>35</v>
      </c>
      <c r="B134" s="49">
        <v>811070</v>
      </c>
      <c r="C134" s="50">
        <v>45543</v>
      </c>
      <c r="D134" s="49" t="s">
        <v>188</v>
      </c>
      <c r="E134" s="49" t="s">
        <v>189</v>
      </c>
      <c r="F134" s="51" t="s">
        <v>43</v>
      </c>
      <c r="G134" s="56" t="s">
        <v>77</v>
      </c>
      <c r="H134" s="53" t="s">
        <v>33</v>
      </c>
      <c r="I134" s="158">
        <v>45431</v>
      </c>
      <c r="J134" s="54">
        <v>75.407700000000006</v>
      </c>
      <c r="K134" s="57">
        <f t="shared" si="0"/>
        <v>3425847.2187000001</v>
      </c>
    </row>
    <row r="135" spans="1:11" x14ac:dyDescent="0.25">
      <c r="A135" s="33">
        <v>36</v>
      </c>
      <c r="B135" s="181">
        <v>812527</v>
      </c>
      <c r="C135" s="50">
        <v>45544</v>
      </c>
      <c r="D135" s="49" t="s">
        <v>73</v>
      </c>
      <c r="E135" s="49" t="s">
        <v>55</v>
      </c>
      <c r="F135" s="51" t="s">
        <v>43</v>
      </c>
      <c r="G135" s="56" t="s">
        <v>190</v>
      </c>
      <c r="H135" s="53" t="s">
        <v>32</v>
      </c>
      <c r="I135" s="158">
        <v>46869</v>
      </c>
      <c r="J135" s="54"/>
      <c r="K135" s="57">
        <f t="shared" si="0"/>
        <v>0</v>
      </c>
    </row>
    <row r="136" spans="1:11" x14ac:dyDescent="0.25">
      <c r="A136" s="48">
        <v>37</v>
      </c>
      <c r="B136" s="49">
        <v>812742</v>
      </c>
      <c r="C136" s="50">
        <v>45544</v>
      </c>
      <c r="D136" s="49" t="s">
        <v>150</v>
      </c>
      <c r="E136" s="49" t="s">
        <v>151</v>
      </c>
      <c r="F136" s="51" t="s">
        <v>43</v>
      </c>
      <c r="G136" s="56" t="s">
        <v>190</v>
      </c>
      <c r="H136" s="53" t="s">
        <v>32</v>
      </c>
      <c r="I136" s="158">
        <v>47287</v>
      </c>
      <c r="J136" s="54"/>
      <c r="K136" s="55">
        <f t="shared" si="0"/>
        <v>0</v>
      </c>
    </row>
    <row r="137" spans="1:11" x14ac:dyDescent="0.25">
      <c r="A137" s="33">
        <v>38</v>
      </c>
      <c r="B137" s="49">
        <v>812861</v>
      </c>
      <c r="C137" s="50">
        <v>45544</v>
      </c>
      <c r="D137" s="49" t="s">
        <v>44</v>
      </c>
      <c r="E137" s="49" t="s">
        <v>45</v>
      </c>
      <c r="F137" s="51" t="s">
        <v>43</v>
      </c>
      <c r="G137" s="56" t="s">
        <v>190</v>
      </c>
      <c r="H137" s="53" t="s">
        <v>32</v>
      </c>
      <c r="I137" s="158">
        <v>46858</v>
      </c>
      <c r="J137" s="54"/>
      <c r="K137" s="55">
        <f t="shared" si="0"/>
        <v>0</v>
      </c>
    </row>
    <row r="138" spans="1:11" x14ac:dyDescent="0.25">
      <c r="A138" s="48">
        <v>39</v>
      </c>
      <c r="B138" s="49">
        <v>813257</v>
      </c>
      <c r="C138" s="50">
        <v>45546</v>
      </c>
      <c r="D138" s="49" t="s">
        <v>131</v>
      </c>
      <c r="E138" s="49" t="s">
        <v>132</v>
      </c>
      <c r="F138" s="51" t="s">
        <v>43</v>
      </c>
      <c r="G138" s="52" t="s">
        <v>74</v>
      </c>
      <c r="H138" s="53" t="s">
        <v>32</v>
      </c>
      <c r="I138" s="158">
        <v>46608</v>
      </c>
      <c r="J138" s="54">
        <v>76.544700000000006</v>
      </c>
      <c r="K138" s="55">
        <f t="shared" si="0"/>
        <v>3567595.3776000002</v>
      </c>
    </row>
    <row r="139" spans="1:11" x14ac:dyDescent="0.25">
      <c r="A139" s="33">
        <v>40</v>
      </c>
      <c r="B139" s="49">
        <v>811543</v>
      </c>
      <c r="C139" s="50">
        <v>45548</v>
      </c>
      <c r="D139" s="49" t="s">
        <v>125</v>
      </c>
      <c r="E139" s="49" t="s">
        <v>67</v>
      </c>
      <c r="F139" s="51" t="s">
        <v>43</v>
      </c>
      <c r="G139" s="52" t="s">
        <v>46</v>
      </c>
      <c r="H139" s="53" t="s">
        <v>33</v>
      </c>
      <c r="I139" s="158">
        <v>45598</v>
      </c>
      <c r="J139" s="54">
        <v>75.407700000000006</v>
      </c>
      <c r="K139" s="55">
        <f t="shared" si="0"/>
        <v>3438440.3046000004</v>
      </c>
    </row>
    <row r="140" spans="1:11" x14ac:dyDescent="0.25">
      <c r="A140" s="48">
        <v>41</v>
      </c>
      <c r="B140" s="49">
        <v>814019</v>
      </c>
      <c r="C140" s="50">
        <v>45549</v>
      </c>
      <c r="D140" s="49" t="s">
        <v>48</v>
      </c>
      <c r="E140" s="49" t="s">
        <v>49</v>
      </c>
      <c r="F140" s="51" t="s">
        <v>43</v>
      </c>
      <c r="G140" s="56" t="s">
        <v>98</v>
      </c>
      <c r="H140" s="53" t="s">
        <v>32</v>
      </c>
      <c r="I140" s="158">
        <v>46001</v>
      </c>
      <c r="J140" s="54">
        <v>76.544700000000006</v>
      </c>
      <c r="K140" s="55">
        <f t="shared" si="0"/>
        <v>3521132.7447000002</v>
      </c>
    </row>
    <row r="141" spans="1:11" x14ac:dyDescent="0.25">
      <c r="A141" s="33">
        <v>42</v>
      </c>
      <c r="B141" s="49">
        <v>816619</v>
      </c>
      <c r="C141" s="50">
        <v>45555</v>
      </c>
      <c r="D141" s="49" t="s">
        <v>146</v>
      </c>
      <c r="E141" s="49" t="s">
        <v>147</v>
      </c>
      <c r="F141" s="51" t="s">
        <v>43</v>
      </c>
      <c r="G141" s="52" t="s">
        <v>56</v>
      </c>
      <c r="H141" s="53" t="s">
        <v>57</v>
      </c>
      <c r="I141" s="158">
        <v>46036</v>
      </c>
      <c r="J141" s="54">
        <v>57.747300000000003</v>
      </c>
      <c r="K141" s="55">
        <f t="shared" si="0"/>
        <v>2658454.7028000001</v>
      </c>
    </row>
    <row r="142" spans="1:11" x14ac:dyDescent="0.25">
      <c r="A142" s="48">
        <v>43</v>
      </c>
      <c r="B142" s="49">
        <v>818517</v>
      </c>
      <c r="C142" s="50">
        <v>45560</v>
      </c>
      <c r="D142" s="49" t="s">
        <v>160</v>
      </c>
      <c r="E142" s="49" t="s">
        <v>102</v>
      </c>
      <c r="F142" s="51" t="s">
        <v>43</v>
      </c>
      <c r="G142" s="52" t="s">
        <v>47</v>
      </c>
      <c r="H142" s="53" t="s">
        <v>33</v>
      </c>
      <c r="I142" s="158">
        <v>45957</v>
      </c>
      <c r="J142" s="54">
        <v>75.407700000000006</v>
      </c>
      <c r="K142" s="55">
        <f t="shared" si="0"/>
        <v>3465511.6689000004</v>
      </c>
    </row>
    <row r="143" spans="1:11" x14ac:dyDescent="0.25">
      <c r="A143" s="33">
        <v>44</v>
      </c>
      <c r="B143" s="49">
        <v>818476</v>
      </c>
      <c r="C143" s="50">
        <v>45562</v>
      </c>
      <c r="D143" s="49" t="s">
        <v>114</v>
      </c>
      <c r="E143" s="49" t="s">
        <v>52</v>
      </c>
      <c r="F143" s="51" t="s">
        <v>43</v>
      </c>
      <c r="G143" s="56" t="s">
        <v>77</v>
      </c>
      <c r="H143" s="53" t="s">
        <v>32</v>
      </c>
      <c r="I143" s="158">
        <v>46063</v>
      </c>
      <c r="J143" s="54">
        <v>76.544700000000006</v>
      </c>
      <c r="K143" s="55">
        <f t="shared" si="0"/>
        <v>3525878.5161000001</v>
      </c>
    </row>
    <row r="144" spans="1:11" x14ac:dyDescent="0.25">
      <c r="A144" s="48">
        <v>45</v>
      </c>
      <c r="B144" s="49">
        <v>819018</v>
      </c>
      <c r="C144" s="50">
        <v>45563</v>
      </c>
      <c r="D144" s="49" t="s">
        <v>125</v>
      </c>
      <c r="E144" s="49" t="s">
        <v>67</v>
      </c>
      <c r="F144" s="51" t="s">
        <v>43</v>
      </c>
      <c r="G144" s="52" t="s">
        <v>47</v>
      </c>
      <c r="H144" s="53" t="s">
        <v>32</v>
      </c>
      <c r="I144" s="158">
        <v>45918</v>
      </c>
      <c r="J144" s="54">
        <v>76.544700000000006</v>
      </c>
      <c r="K144" s="55">
        <f t="shared" si="0"/>
        <v>3514779.5346000004</v>
      </c>
    </row>
    <row r="145" spans="1:11" x14ac:dyDescent="0.25">
      <c r="A145" s="33">
        <v>46</v>
      </c>
      <c r="B145" s="49">
        <v>820815</v>
      </c>
      <c r="C145" s="50">
        <v>45570</v>
      </c>
      <c r="D145" s="49" t="s">
        <v>35</v>
      </c>
      <c r="E145" s="49" t="s">
        <v>36</v>
      </c>
      <c r="F145" s="51" t="s">
        <v>43</v>
      </c>
      <c r="G145" s="56" t="s">
        <v>221</v>
      </c>
      <c r="H145" s="53" t="s">
        <v>32</v>
      </c>
      <c r="I145" s="158">
        <v>48110</v>
      </c>
      <c r="J145" s="54">
        <v>76.544700000000006</v>
      </c>
      <c r="K145" s="55">
        <f t="shared" si="0"/>
        <v>3682565.5170000005</v>
      </c>
    </row>
    <row r="146" spans="1:11" x14ac:dyDescent="0.25">
      <c r="A146" s="48">
        <v>47</v>
      </c>
      <c r="B146" s="49">
        <v>820817</v>
      </c>
      <c r="C146" s="50">
        <v>45570</v>
      </c>
      <c r="D146" s="49" t="s">
        <v>48</v>
      </c>
      <c r="E146" s="49" t="s">
        <v>49</v>
      </c>
      <c r="F146" s="51" t="s">
        <v>43</v>
      </c>
      <c r="G146" s="56" t="s">
        <v>98</v>
      </c>
      <c r="H146" s="53" t="s">
        <v>32</v>
      </c>
      <c r="I146" s="158">
        <v>46065</v>
      </c>
      <c r="J146" s="54">
        <v>76.544700000000006</v>
      </c>
      <c r="K146" s="55">
        <f t="shared" si="0"/>
        <v>3526031.6055000001</v>
      </c>
    </row>
    <row r="147" spans="1:11" x14ac:dyDescent="0.25">
      <c r="A147" s="33">
        <v>48</v>
      </c>
      <c r="B147" s="49">
        <v>821685</v>
      </c>
      <c r="C147" s="50">
        <v>45571</v>
      </c>
      <c r="D147" s="49" t="s">
        <v>146</v>
      </c>
      <c r="E147" s="49" t="s">
        <v>147</v>
      </c>
      <c r="F147" s="51" t="s">
        <v>43</v>
      </c>
      <c r="G147" s="52" t="s">
        <v>46</v>
      </c>
      <c r="H147" s="53" t="s">
        <v>32</v>
      </c>
      <c r="I147" s="158">
        <v>45905</v>
      </c>
      <c r="J147" s="54">
        <v>76.544700000000006</v>
      </c>
      <c r="K147" s="55">
        <f t="shared" si="0"/>
        <v>3513784.4535000003</v>
      </c>
    </row>
    <row r="148" spans="1:11" x14ac:dyDescent="0.25">
      <c r="A148" s="48">
        <v>49</v>
      </c>
      <c r="B148" s="49">
        <v>821691</v>
      </c>
      <c r="C148" s="50">
        <v>45572</v>
      </c>
      <c r="D148" s="49" t="s">
        <v>186</v>
      </c>
      <c r="E148" s="49" t="s">
        <v>187</v>
      </c>
      <c r="F148" s="51" t="s">
        <v>43</v>
      </c>
      <c r="G148" s="56" t="s">
        <v>222</v>
      </c>
      <c r="H148" s="53" t="s">
        <v>165</v>
      </c>
      <c r="I148" s="158">
        <v>48448</v>
      </c>
      <c r="J148" s="54">
        <v>65.89</v>
      </c>
      <c r="K148" s="55">
        <f t="shared" si="0"/>
        <v>3192238.72</v>
      </c>
    </row>
    <row r="149" spans="1:11" x14ac:dyDescent="0.25">
      <c r="A149" s="33">
        <v>50</v>
      </c>
      <c r="B149" s="49">
        <v>821257</v>
      </c>
      <c r="C149" s="50">
        <v>45574</v>
      </c>
      <c r="D149" s="49" t="s">
        <v>160</v>
      </c>
      <c r="E149" s="49" t="s">
        <v>102</v>
      </c>
      <c r="F149" s="51" t="s">
        <v>43</v>
      </c>
      <c r="G149" s="56" t="s">
        <v>77</v>
      </c>
      <c r="H149" s="53" t="s">
        <v>33</v>
      </c>
      <c r="I149" s="158">
        <v>45867</v>
      </c>
      <c r="J149" s="54">
        <v>83.813500000000005</v>
      </c>
      <c r="K149" s="55">
        <f t="shared" si="0"/>
        <v>3844273.8045000001</v>
      </c>
    </row>
    <row r="150" spans="1:11" x14ac:dyDescent="0.25">
      <c r="A150" s="48">
        <v>51</v>
      </c>
      <c r="B150" s="49">
        <v>821689</v>
      </c>
      <c r="C150" s="50">
        <v>45576</v>
      </c>
      <c r="D150" s="49" t="s">
        <v>73</v>
      </c>
      <c r="E150" s="49" t="s">
        <v>55</v>
      </c>
      <c r="F150" s="51" t="s">
        <v>43</v>
      </c>
      <c r="G150" s="52" t="s">
        <v>74</v>
      </c>
      <c r="H150" s="53" t="s">
        <v>33</v>
      </c>
      <c r="I150" s="158">
        <v>46628</v>
      </c>
      <c r="J150" s="54">
        <v>83.813500000000005</v>
      </c>
      <c r="K150" s="55">
        <f t="shared" ref="K150" si="1">I150*J150</f>
        <v>3908055.878</v>
      </c>
    </row>
    <row r="151" spans="1:11" x14ac:dyDescent="0.25">
      <c r="A151" s="33">
        <v>52</v>
      </c>
      <c r="B151" s="49">
        <v>823475</v>
      </c>
      <c r="C151" s="50">
        <v>45576</v>
      </c>
      <c r="D151" s="49" t="s">
        <v>71</v>
      </c>
      <c r="E151" s="49" t="s">
        <v>72</v>
      </c>
      <c r="F151" s="51" t="s">
        <v>43</v>
      </c>
      <c r="G151" s="52" t="s">
        <v>74</v>
      </c>
      <c r="H151" s="53" t="s">
        <v>32</v>
      </c>
      <c r="I151" s="158">
        <v>46048</v>
      </c>
      <c r="J151" s="54">
        <v>82.950599999999994</v>
      </c>
      <c r="K151" s="55">
        <f t="shared" si="0"/>
        <v>3819709.2287999997</v>
      </c>
    </row>
    <row r="152" spans="1:11" x14ac:dyDescent="0.25">
      <c r="A152" s="48">
        <v>53</v>
      </c>
      <c r="B152" s="49">
        <v>822666</v>
      </c>
      <c r="C152" s="50">
        <v>45578</v>
      </c>
      <c r="D152" s="49" t="s">
        <v>188</v>
      </c>
      <c r="E152" s="49" t="s">
        <v>189</v>
      </c>
      <c r="F152" s="51" t="s">
        <v>43</v>
      </c>
      <c r="G152" s="52" t="s">
        <v>47</v>
      </c>
      <c r="H152" s="53" t="s">
        <v>33</v>
      </c>
      <c r="I152" s="158">
        <v>45657</v>
      </c>
      <c r="J152" s="54">
        <v>83.813500000000005</v>
      </c>
      <c r="K152" s="55">
        <f t="shared" si="0"/>
        <v>3826672.9695000001</v>
      </c>
    </row>
    <row r="153" spans="1:11" x14ac:dyDescent="0.25">
      <c r="A153" s="33">
        <v>54</v>
      </c>
      <c r="B153" s="49">
        <v>823790</v>
      </c>
      <c r="C153" s="50">
        <v>45582</v>
      </c>
      <c r="D153" s="49" t="s">
        <v>44</v>
      </c>
      <c r="E153" s="49" t="s">
        <v>45</v>
      </c>
      <c r="F153" s="51" t="s">
        <v>43</v>
      </c>
      <c r="G153" s="52" t="s">
        <v>47</v>
      </c>
      <c r="H153" s="53" t="s">
        <v>32</v>
      </c>
      <c r="I153" s="158">
        <v>46935</v>
      </c>
      <c r="J153" s="54">
        <v>82.950599999999994</v>
      </c>
      <c r="K153" s="55">
        <f t="shared" si="0"/>
        <v>3893286.4109999998</v>
      </c>
    </row>
    <row r="154" spans="1:11" x14ac:dyDescent="0.25">
      <c r="A154" s="48">
        <v>55</v>
      </c>
      <c r="B154" s="49">
        <v>826247</v>
      </c>
      <c r="C154" s="50">
        <v>45584</v>
      </c>
      <c r="D154" s="49" t="s">
        <v>234</v>
      </c>
      <c r="E154" s="49" t="s">
        <v>235</v>
      </c>
      <c r="F154" s="51" t="s">
        <v>43</v>
      </c>
      <c r="G154" s="56" t="s">
        <v>77</v>
      </c>
      <c r="H154" s="53" t="s">
        <v>32</v>
      </c>
      <c r="I154" s="158">
        <v>46155</v>
      </c>
      <c r="J154" s="54">
        <v>82.950599999999994</v>
      </c>
      <c r="K154" s="55">
        <f t="shared" si="0"/>
        <v>3828584.943</v>
      </c>
    </row>
    <row r="155" spans="1:11" x14ac:dyDescent="0.25">
      <c r="A155" s="33">
        <v>56</v>
      </c>
      <c r="B155" s="49">
        <v>829003</v>
      </c>
      <c r="C155" s="50">
        <v>45590</v>
      </c>
      <c r="D155" s="49" t="s">
        <v>48</v>
      </c>
      <c r="E155" s="49" t="s">
        <v>49</v>
      </c>
      <c r="F155" s="51" t="s">
        <v>43</v>
      </c>
      <c r="G155" s="56" t="s">
        <v>222</v>
      </c>
      <c r="H155" s="53" t="s">
        <v>165</v>
      </c>
      <c r="I155" s="158">
        <v>46470</v>
      </c>
      <c r="J155" s="54">
        <v>93.563199999999995</v>
      </c>
      <c r="K155" s="55">
        <f t="shared" si="0"/>
        <v>4347881.9040000001</v>
      </c>
    </row>
    <row r="156" spans="1:11" x14ac:dyDescent="0.25">
      <c r="A156" s="48">
        <v>57</v>
      </c>
      <c r="B156" s="49">
        <v>829279</v>
      </c>
      <c r="C156" s="50">
        <v>45590</v>
      </c>
      <c r="D156" s="49" t="s">
        <v>160</v>
      </c>
      <c r="E156" s="49" t="s">
        <v>102</v>
      </c>
      <c r="F156" s="51" t="s">
        <v>43</v>
      </c>
      <c r="G156" s="56" t="s">
        <v>190</v>
      </c>
      <c r="H156" s="53" t="s">
        <v>32</v>
      </c>
      <c r="I156" s="158">
        <v>46250</v>
      </c>
      <c r="J156" s="54"/>
      <c r="K156" s="55">
        <f t="shared" si="0"/>
        <v>0</v>
      </c>
    </row>
    <row r="157" spans="1:11" x14ac:dyDescent="0.25">
      <c r="A157" s="33">
        <v>58</v>
      </c>
      <c r="B157" s="49">
        <v>829745</v>
      </c>
      <c r="C157" s="50">
        <v>45591</v>
      </c>
      <c r="D157" s="49" t="s">
        <v>125</v>
      </c>
      <c r="E157" s="49" t="s">
        <v>67</v>
      </c>
      <c r="F157" s="51" t="s">
        <v>43</v>
      </c>
      <c r="G157" s="52" t="s">
        <v>46</v>
      </c>
      <c r="H157" s="53" t="s">
        <v>32</v>
      </c>
      <c r="I157" s="158">
        <v>46082</v>
      </c>
      <c r="J157" s="54">
        <v>82.950599999999994</v>
      </c>
      <c r="K157" s="55">
        <f t="shared" si="0"/>
        <v>3822529.5491999998</v>
      </c>
    </row>
    <row r="158" spans="1:11" x14ac:dyDescent="0.25">
      <c r="A158" s="48">
        <v>59</v>
      </c>
      <c r="B158" s="49">
        <v>827682</v>
      </c>
      <c r="C158" s="50">
        <v>45592</v>
      </c>
      <c r="D158" s="49" t="s">
        <v>146</v>
      </c>
      <c r="E158" s="49" t="s">
        <v>147</v>
      </c>
      <c r="F158" s="51" t="s">
        <v>43</v>
      </c>
      <c r="G158" s="56" t="s">
        <v>77</v>
      </c>
      <c r="H158" s="53" t="s">
        <v>33</v>
      </c>
      <c r="I158" s="158">
        <v>45862</v>
      </c>
      <c r="J158" s="54">
        <v>83.813500000000005</v>
      </c>
      <c r="K158" s="55">
        <f t="shared" si="0"/>
        <v>3843854.7370000002</v>
      </c>
    </row>
    <row r="159" spans="1:11" x14ac:dyDescent="0.25">
      <c r="A159" s="33">
        <v>60</v>
      </c>
      <c r="B159" s="49">
        <v>827679</v>
      </c>
      <c r="C159" s="50">
        <v>45593</v>
      </c>
      <c r="D159" s="49" t="s">
        <v>75</v>
      </c>
      <c r="E159" s="49" t="s">
        <v>76</v>
      </c>
      <c r="F159" s="51" t="s">
        <v>43</v>
      </c>
      <c r="G159" s="56" t="s">
        <v>190</v>
      </c>
      <c r="H159" s="53" t="s">
        <v>32</v>
      </c>
      <c r="I159" s="158">
        <v>50780</v>
      </c>
      <c r="J159" s="54"/>
      <c r="K159" s="55">
        <f t="shared" si="0"/>
        <v>0</v>
      </c>
    </row>
    <row r="160" spans="1:11" x14ac:dyDescent="0.25">
      <c r="A160" s="48">
        <v>61</v>
      </c>
      <c r="B160" s="49">
        <v>832406</v>
      </c>
      <c r="C160" s="50">
        <v>45600</v>
      </c>
      <c r="D160" s="49" t="s">
        <v>186</v>
      </c>
      <c r="E160" s="49" t="s">
        <v>187</v>
      </c>
      <c r="F160" s="51" t="s">
        <v>43</v>
      </c>
      <c r="G160" s="56" t="s">
        <v>245</v>
      </c>
      <c r="H160" s="53" t="s">
        <v>32</v>
      </c>
      <c r="I160" s="158">
        <v>48210</v>
      </c>
      <c r="J160" s="54">
        <v>82.950599999999994</v>
      </c>
      <c r="K160" s="55">
        <f t="shared" ref="K160" si="2">I160*J160</f>
        <v>3999048.4259999995</v>
      </c>
    </row>
    <row r="161" spans="1:18" x14ac:dyDescent="0.25">
      <c r="A161" s="33">
        <v>62</v>
      </c>
      <c r="B161" s="49">
        <v>833747</v>
      </c>
      <c r="C161" s="50">
        <v>45604</v>
      </c>
      <c r="D161" s="49" t="s">
        <v>48</v>
      </c>
      <c r="E161" s="49" t="s">
        <v>49</v>
      </c>
      <c r="F161" s="51" t="s">
        <v>43</v>
      </c>
      <c r="G161" s="56" t="s">
        <v>222</v>
      </c>
      <c r="H161" s="53" t="s">
        <v>165</v>
      </c>
      <c r="I161" s="158">
        <v>46431</v>
      </c>
      <c r="J161" s="54">
        <v>93.563199999999995</v>
      </c>
      <c r="K161" s="55">
        <f t="shared" si="0"/>
        <v>4344232.9391999999</v>
      </c>
    </row>
    <row r="162" spans="1:18" x14ac:dyDescent="0.25">
      <c r="A162" s="48">
        <v>63</v>
      </c>
      <c r="B162" s="49">
        <v>834606</v>
      </c>
      <c r="C162" s="50">
        <v>45605</v>
      </c>
      <c r="D162" s="49" t="s">
        <v>131</v>
      </c>
      <c r="E162" s="49" t="s">
        <v>132</v>
      </c>
      <c r="F162" s="51" t="s">
        <v>43</v>
      </c>
      <c r="G162" s="52" t="s">
        <v>74</v>
      </c>
      <c r="H162" s="53" t="s">
        <v>32</v>
      </c>
      <c r="I162" s="158">
        <v>46552</v>
      </c>
      <c r="J162" s="54">
        <v>82.950599999999994</v>
      </c>
      <c r="K162" s="55">
        <f t="shared" si="0"/>
        <v>3861516.3311999999</v>
      </c>
    </row>
    <row r="163" spans="1:18" x14ac:dyDescent="0.25">
      <c r="A163" s="33">
        <v>64</v>
      </c>
      <c r="B163" s="193">
        <v>834611</v>
      </c>
      <c r="C163" s="50">
        <v>45607</v>
      </c>
      <c r="D163" s="49" t="s">
        <v>35</v>
      </c>
      <c r="E163" s="49" t="s">
        <v>36</v>
      </c>
      <c r="F163" s="51" t="s">
        <v>43</v>
      </c>
      <c r="G163" s="56" t="s">
        <v>267</v>
      </c>
      <c r="H163" s="53" t="s">
        <v>32</v>
      </c>
      <c r="I163" s="158">
        <v>48475</v>
      </c>
      <c r="J163" s="54">
        <v>82.950599999999994</v>
      </c>
      <c r="K163" s="55">
        <f t="shared" si="0"/>
        <v>4021030.3349999995</v>
      </c>
    </row>
    <row r="164" spans="1:18" s="101" customFormat="1" x14ac:dyDescent="0.25">
      <c r="A164" s="211">
        <v>65</v>
      </c>
      <c r="B164" s="212">
        <v>833746</v>
      </c>
      <c r="C164" s="213">
        <v>45608</v>
      </c>
      <c r="D164" s="212" t="s">
        <v>160</v>
      </c>
      <c r="E164" s="212" t="s">
        <v>102</v>
      </c>
      <c r="F164" s="51" t="s">
        <v>43</v>
      </c>
      <c r="G164" s="52" t="s">
        <v>47</v>
      </c>
      <c r="H164" s="214" t="s">
        <v>33</v>
      </c>
      <c r="I164" s="215">
        <v>46127</v>
      </c>
      <c r="J164" s="216">
        <v>83.813500000000005</v>
      </c>
      <c r="K164" s="55">
        <f t="shared" si="0"/>
        <v>3866065.3145000003</v>
      </c>
      <c r="L164" s="217"/>
      <c r="M164" s="217"/>
      <c r="N164" s="217"/>
      <c r="O164" s="217"/>
      <c r="P164" s="217"/>
      <c r="Q164" s="217"/>
      <c r="R164" s="217"/>
    </row>
    <row r="165" spans="1:18" x14ac:dyDescent="0.25">
      <c r="A165" s="33">
        <v>66</v>
      </c>
      <c r="B165" s="49">
        <v>836718</v>
      </c>
      <c r="C165" s="50">
        <v>45610</v>
      </c>
      <c r="D165" s="49" t="s">
        <v>92</v>
      </c>
      <c r="E165" s="49" t="s">
        <v>93</v>
      </c>
      <c r="F165" s="51" t="s">
        <v>43</v>
      </c>
      <c r="G165" s="56" t="s">
        <v>98</v>
      </c>
      <c r="H165" s="53" t="s">
        <v>32</v>
      </c>
      <c r="I165" s="158">
        <v>46272</v>
      </c>
      <c r="J165" s="54">
        <v>82.950599999999994</v>
      </c>
      <c r="K165" s="55">
        <f t="shared" si="0"/>
        <v>3838290.1631999998</v>
      </c>
    </row>
    <row r="166" spans="1:18" x14ac:dyDescent="0.25">
      <c r="A166" s="48">
        <v>67</v>
      </c>
      <c r="B166" s="49">
        <v>837125</v>
      </c>
      <c r="C166" s="50">
        <v>45612</v>
      </c>
      <c r="D166" s="49" t="s">
        <v>234</v>
      </c>
      <c r="E166" s="49" t="s">
        <v>235</v>
      </c>
      <c r="F166" s="51" t="s">
        <v>43</v>
      </c>
      <c r="G166" s="56" t="s">
        <v>276</v>
      </c>
      <c r="H166" s="53" t="s">
        <v>32</v>
      </c>
      <c r="I166" s="158">
        <v>46269</v>
      </c>
      <c r="J166" s="54"/>
      <c r="K166" s="55">
        <v>0</v>
      </c>
    </row>
    <row r="167" spans="1:18" x14ac:dyDescent="0.25">
      <c r="A167" s="33">
        <v>68</v>
      </c>
      <c r="B167" s="49">
        <v>837311</v>
      </c>
      <c r="C167" s="50">
        <v>45615</v>
      </c>
      <c r="D167" s="49" t="s">
        <v>125</v>
      </c>
      <c r="E167" s="49" t="s">
        <v>67</v>
      </c>
      <c r="F167" s="51" t="s">
        <v>43</v>
      </c>
      <c r="G167" s="56" t="s">
        <v>77</v>
      </c>
      <c r="H167" s="53" t="s">
        <v>32</v>
      </c>
      <c r="I167" s="158">
        <v>46127</v>
      </c>
      <c r="J167" s="54">
        <v>82.950599999999994</v>
      </c>
      <c r="K167" s="55">
        <f t="shared" si="0"/>
        <v>3826262.3261999995</v>
      </c>
    </row>
    <row r="168" spans="1:18" x14ac:dyDescent="0.25">
      <c r="A168" s="48">
        <v>69</v>
      </c>
      <c r="B168" s="49">
        <v>838248</v>
      </c>
      <c r="C168" s="50">
        <v>45616</v>
      </c>
      <c r="D168" s="49" t="s">
        <v>146</v>
      </c>
      <c r="E168" s="49" t="s">
        <v>147</v>
      </c>
      <c r="F168" s="51" t="s">
        <v>43</v>
      </c>
      <c r="G168" s="52" t="s">
        <v>46</v>
      </c>
      <c r="H168" s="53" t="s">
        <v>32</v>
      </c>
      <c r="I168" s="158">
        <v>46204</v>
      </c>
      <c r="J168" s="54">
        <v>82.950599999999994</v>
      </c>
      <c r="K168" s="55">
        <f t="shared" si="0"/>
        <v>3832649.5223999997</v>
      </c>
    </row>
    <row r="169" spans="1:18" x14ac:dyDescent="0.25">
      <c r="A169" s="33">
        <v>70</v>
      </c>
      <c r="B169" s="49">
        <v>838249</v>
      </c>
      <c r="C169" s="50">
        <v>45618</v>
      </c>
      <c r="D169" s="49" t="s">
        <v>150</v>
      </c>
      <c r="E169" s="49" t="s">
        <v>151</v>
      </c>
      <c r="F169" s="51" t="s">
        <v>43</v>
      </c>
      <c r="G169" s="56" t="s">
        <v>267</v>
      </c>
      <c r="H169" s="53" t="s">
        <v>33</v>
      </c>
      <c r="I169" s="158">
        <v>47340</v>
      </c>
      <c r="J169" s="54">
        <v>83.813500000000005</v>
      </c>
      <c r="K169" s="55">
        <f t="shared" si="0"/>
        <v>3967731.0900000003</v>
      </c>
    </row>
    <row r="170" spans="1:18" x14ac:dyDescent="0.25">
      <c r="A170" s="48">
        <v>71</v>
      </c>
      <c r="B170" s="49">
        <v>839959</v>
      </c>
      <c r="C170" s="50">
        <v>45620</v>
      </c>
      <c r="D170" s="49" t="s">
        <v>48</v>
      </c>
      <c r="E170" s="49" t="s">
        <v>49</v>
      </c>
      <c r="F170" s="51" t="s">
        <v>43</v>
      </c>
      <c r="G170" s="56" t="s">
        <v>284</v>
      </c>
      <c r="H170" s="53" t="s">
        <v>32</v>
      </c>
      <c r="I170" s="158">
        <v>46264</v>
      </c>
      <c r="J170" s="54">
        <v>82.950599999999994</v>
      </c>
      <c r="K170" s="55">
        <f t="shared" si="0"/>
        <v>3837626.5583999995</v>
      </c>
      <c r="N170" s="175"/>
    </row>
    <row r="171" spans="1:18" x14ac:dyDescent="0.25">
      <c r="A171" s="33">
        <v>72</v>
      </c>
      <c r="B171" s="49">
        <v>839955</v>
      </c>
      <c r="C171" s="50">
        <v>45620</v>
      </c>
      <c r="D171" s="49" t="s">
        <v>186</v>
      </c>
      <c r="E171" s="49" t="s">
        <v>187</v>
      </c>
      <c r="F171" s="51" t="s">
        <v>43</v>
      </c>
      <c r="G171" s="56" t="s">
        <v>222</v>
      </c>
      <c r="H171" s="53" t="s">
        <v>165</v>
      </c>
      <c r="I171" s="158">
        <v>48516</v>
      </c>
      <c r="J171">
        <v>103.1932</v>
      </c>
      <c r="K171" s="55">
        <f t="shared" si="0"/>
        <v>5006521.2911999999</v>
      </c>
      <c r="L171">
        <v>103.1932</v>
      </c>
      <c r="N171" s="165">
        <f>I171*L171</f>
        <v>5006521.2911999999</v>
      </c>
    </row>
    <row r="172" spans="1:18" x14ac:dyDescent="0.25">
      <c r="A172" s="48">
        <v>73</v>
      </c>
      <c r="B172" s="49">
        <v>842510</v>
      </c>
      <c r="C172" s="50">
        <v>45626</v>
      </c>
      <c r="D172" s="49" t="s">
        <v>234</v>
      </c>
      <c r="E172" s="49" t="s">
        <v>235</v>
      </c>
      <c r="F172" s="51" t="s">
        <v>43</v>
      </c>
      <c r="G172" s="52" t="s">
        <v>47</v>
      </c>
      <c r="H172" s="53" t="s">
        <v>32</v>
      </c>
      <c r="I172" s="158">
        <v>46342</v>
      </c>
      <c r="J172" s="54">
        <v>82.950599999999994</v>
      </c>
      <c r="K172" s="55">
        <f t="shared" si="0"/>
        <v>3844096.7051999997</v>
      </c>
      <c r="N172" s="175"/>
    </row>
    <row r="173" spans="1:18" x14ac:dyDescent="0.25">
      <c r="A173" s="33">
        <v>74</v>
      </c>
      <c r="B173" s="49">
        <v>842513</v>
      </c>
      <c r="C173" s="50">
        <v>45626</v>
      </c>
      <c r="D173" s="49" t="s">
        <v>92</v>
      </c>
      <c r="E173" s="49" t="s">
        <v>93</v>
      </c>
      <c r="F173" s="51" t="s">
        <v>43</v>
      </c>
      <c r="G173" s="56" t="s">
        <v>98</v>
      </c>
      <c r="H173" s="53" t="s">
        <v>32</v>
      </c>
      <c r="I173" s="158">
        <v>46251</v>
      </c>
      <c r="J173" s="54">
        <v>82.950599999999994</v>
      </c>
      <c r="K173" s="55">
        <f t="shared" si="0"/>
        <v>3836548.2005999996</v>
      </c>
      <c r="N173" s="175">
        <f>N171-K171</f>
        <v>0</v>
      </c>
    </row>
    <row r="174" spans="1:18" x14ac:dyDescent="0.25">
      <c r="A174" s="48">
        <v>75</v>
      </c>
      <c r="B174" s="49">
        <v>841385</v>
      </c>
      <c r="C174" s="50">
        <v>45631</v>
      </c>
      <c r="D174" s="49" t="s">
        <v>160</v>
      </c>
      <c r="E174" s="49" t="s">
        <v>102</v>
      </c>
      <c r="F174" s="51" t="s">
        <v>43</v>
      </c>
      <c r="G174" s="56" t="s">
        <v>77</v>
      </c>
      <c r="H174" s="53" t="s">
        <v>33</v>
      </c>
      <c r="I174" s="158">
        <v>46204</v>
      </c>
      <c r="J174" s="54">
        <v>83.813500000000005</v>
      </c>
      <c r="K174" s="55">
        <f t="shared" si="0"/>
        <v>3872518.9540000004</v>
      </c>
    </row>
    <row r="175" spans="1:18" x14ac:dyDescent="0.25">
      <c r="A175" s="33">
        <v>76</v>
      </c>
      <c r="B175" s="49">
        <v>844579</v>
      </c>
      <c r="C175" s="50">
        <v>45633</v>
      </c>
      <c r="D175" s="49" t="s">
        <v>131</v>
      </c>
      <c r="E175" s="49" t="s">
        <v>132</v>
      </c>
      <c r="F175" s="51" t="s">
        <v>43</v>
      </c>
      <c r="G175" s="52" t="s">
        <v>74</v>
      </c>
      <c r="H175" s="53" t="s">
        <v>32</v>
      </c>
      <c r="I175" s="158">
        <v>46755</v>
      </c>
      <c r="J175" s="54">
        <v>82.950599999999994</v>
      </c>
      <c r="K175" s="55">
        <f t="shared" si="0"/>
        <v>3878355.3029999998</v>
      </c>
    </row>
    <row r="176" spans="1:18" x14ac:dyDescent="0.25">
      <c r="A176" s="48">
        <v>77</v>
      </c>
      <c r="B176" s="49">
        <v>844221</v>
      </c>
      <c r="C176" s="50">
        <v>45636</v>
      </c>
      <c r="D176" s="49" t="s">
        <v>150</v>
      </c>
      <c r="E176" s="49" t="s">
        <v>151</v>
      </c>
      <c r="F176" s="51" t="s">
        <v>43</v>
      </c>
      <c r="G176" s="56" t="s">
        <v>284</v>
      </c>
      <c r="H176" s="53" t="s">
        <v>33</v>
      </c>
      <c r="I176" s="158">
        <v>47305</v>
      </c>
      <c r="J176" s="54">
        <v>83.813500000000005</v>
      </c>
      <c r="K176" s="55">
        <f t="shared" si="0"/>
        <v>3964797.6175000002</v>
      </c>
      <c r="N176" s="165">
        <f>I178*L171</f>
        <v>4898374.8176000006</v>
      </c>
    </row>
    <row r="177" spans="1:17" x14ac:dyDescent="0.25">
      <c r="A177" s="33">
        <v>78</v>
      </c>
      <c r="B177" s="49">
        <v>846854</v>
      </c>
      <c r="C177" s="50">
        <v>45639</v>
      </c>
      <c r="D177" s="49" t="s">
        <v>35</v>
      </c>
      <c r="E177" s="49" t="s">
        <v>36</v>
      </c>
      <c r="F177" s="51" t="s">
        <v>43</v>
      </c>
      <c r="G177" s="56" t="s">
        <v>221</v>
      </c>
      <c r="H177" s="53" t="s">
        <v>32</v>
      </c>
      <c r="I177" s="158">
        <v>48452</v>
      </c>
      <c r="J177" s="54">
        <v>82.950599999999994</v>
      </c>
      <c r="K177" s="55">
        <f t="shared" si="0"/>
        <v>4019122.4711999996</v>
      </c>
      <c r="N177" s="165">
        <f>N176-K178</f>
        <v>23259.320000001229</v>
      </c>
    </row>
    <row r="178" spans="1:17" x14ac:dyDescent="0.25">
      <c r="A178" s="48">
        <v>79</v>
      </c>
      <c r="B178" s="49">
        <v>847619</v>
      </c>
      <c r="C178" s="50">
        <v>45641</v>
      </c>
      <c r="D178" s="49" t="s">
        <v>186</v>
      </c>
      <c r="E178" s="49" t="s">
        <v>187</v>
      </c>
      <c r="F178" s="51" t="s">
        <v>43</v>
      </c>
      <c r="G178" s="56" t="s">
        <v>222</v>
      </c>
      <c r="H178" s="53" t="s">
        <v>165</v>
      </c>
      <c r="I178" s="158">
        <v>47468</v>
      </c>
      <c r="J178" s="54">
        <v>102.7032</v>
      </c>
      <c r="K178" s="55">
        <f t="shared" si="0"/>
        <v>4875115.4975999994</v>
      </c>
      <c r="N178" s="165">
        <f>N173+N177</f>
        <v>23259.320000001229</v>
      </c>
    </row>
    <row r="179" spans="1:17" x14ac:dyDescent="0.25">
      <c r="A179" s="33">
        <v>80</v>
      </c>
      <c r="B179" s="49">
        <v>848146</v>
      </c>
      <c r="C179" s="50">
        <v>45642</v>
      </c>
      <c r="D179" s="49" t="s">
        <v>125</v>
      </c>
      <c r="E179" s="49" t="s">
        <v>67</v>
      </c>
      <c r="F179" s="51" t="s">
        <v>43</v>
      </c>
      <c r="G179" s="56" t="s">
        <v>77</v>
      </c>
      <c r="H179" s="53" t="s">
        <v>32</v>
      </c>
      <c r="I179" s="158">
        <v>46300</v>
      </c>
      <c r="J179" s="54">
        <v>82.950599999999994</v>
      </c>
      <c r="K179" s="55">
        <f t="shared" si="0"/>
        <v>3840612.78</v>
      </c>
      <c r="N179" s="165">
        <v>1500000</v>
      </c>
    </row>
    <row r="180" spans="1:17" x14ac:dyDescent="0.25">
      <c r="A180" s="48">
        <v>81</v>
      </c>
      <c r="B180" s="49">
        <v>849175</v>
      </c>
      <c r="C180" s="50">
        <v>45646</v>
      </c>
      <c r="D180" s="49" t="s">
        <v>75</v>
      </c>
      <c r="E180" s="49" t="s">
        <v>76</v>
      </c>
      <c r="F180" s="51" t="s">
        <v>43</v>
      </c>
      <c r="G180" s="56" t="s">
        <v>267</v>
      </c>
      <c r="H180" s="53" t="s">
        <v>32</v>
      </c>
      <c r="I180" s="158">
        <v>50945</v>
      </c>
      <c r="J180" s="54">
        <v>82.950599999999994</v>
      </c>
      <c r="K180" s="55">
        <f t="shared" si="0"/>
        <v>4225918.3169999998</v>
      </c>
      <c r="N180" s="165">
        <v>2772820.8</v>
      </c>
    </row>
    <row r="181" spans="1:17" x14ac:dyDescent="0.25">
      <c r="A181" s="33">
        <v>82</v>
      </c>
      <c r="B181" s="49">
        <v>852828</v>
      </c>
      <c r="C181" s="50">
        <v>45654</v>
      </c>
      <c r="D181" s="49" t="s">
        <v>150</v>
      </c>
      <c r="E181" s="49" t="s">
        <v>151</v>
      </c>
      <c r="F181" s="51" t="s">
        <v>43</v>
      </c>
      <c r="G181" s="56" t="s">
        <v>77</v>
      </c>
      <c r="H181" s="53" t="s">
        <v>32</v>
      </c>
      <c r="I181" s="158">
        <v>47642</v>
      </c>
      <c r="J181" s="54">
        <v>82.950599999999994</v>
      </c>
      <c r="K181" s="55">
        <f t="shared" si="0"/>
        <v>3951932.4851999995</v>
      </c>
      <c r="N181" s="165"/>
    </row>
    <row r="182" spans="1:17" x14ac:dyDescent="0.25">
      <c r="A182" s="48">
        <v>83</v>
      </c>
      <c r="B182" s="49">
        <v>848143</v>
      </c>
      <c r="C182" s="50">
        <v>45656</v>
      </c>
      <c r="D182" s="49" t="s">
        <v>146</v>
      </c>
      <c r="E182" s="49" t="s">
        <v>147</v>
      </c>
      <c r="F182" s="51" t="s">
        <v>43</v>
      </c>
      <c r="G182" s="52" t="s">
        <v>46</v>
      </c>
      <c r="H182" s="53" t="s">
        <v>33</v>
      </c>
      <c r="I182" s="158">
        <v>46077</v>
      </c>
      <c r="J182" s="54">
        <v>83.813500000000005</v>
      </c>
      <c r="K182" s="55">
        <f t="shared" si="0"/>
        <v>3861874.6395</v>
      </c>
      <c r="N182" s="165"/>
    </row>
    <row r="183" spans="1:17" x14ac:dyDescent="0.25">
      <c r="A183" s="33">
        <v>84</v>
      </c>
      <c r="B183" s="49">
        <v>852830</v>
      </c>
      <c r="C183" s="50">
        <v>45657</v>
      </c>
      <c r="D183" s="49" t="s">
        <v>125</v>
      </c>
      <c r="E183" s="49" t="s">
        <v>67</v>
      </c>
      <c r="F183" s="51" t="s">
        <v>43</v>
      </c>
      <c r="G183" s="52" t="s">
        <v>47</v>
      </c>
      <c r="H183" s="53" t="s">
        <v>32</v>
      </c>
      <c r="I183" s="158">
        <v>46155</v>
      </c>
      <c r="J183" s="54">
        <v>82.950599999999994</v>
      </c>
      <c r="K183" s="55">
        <f t="shared" si="0"/>
        <v>3828584.943</v>
      </c>
      <c r="N183" s="165"/>
    </row>
    <row r="184" spans="1:17" x14ac:dyDescent="0.25">
      <c r="A184" s="48">
        <v>85</v>
      </c>
      <c r="B184" s="49">
        <v>854861</v>
      </c>
      <c r="C184" s="50">
        <v>45993</v>
      </c>
      <c r="D184" s="49" t="s">
        <v>186</v>
      </c>
      <c r="E184" s="49" t="s">
        <v>187</v>
      </c>
      <c r="F184" s="51" t="s">
        <v>43</v>
      </c>
      <c r="G184" s="56" t="s">
        <v>221</v>
      </c>
      <c r="H184" s="53" t="s">
        <v>32</v>
      </c>
      <c r="I184" s="158">
        <v>48324</v>
      </c>
      <c r="J184" s="54">
        <v>82.950599999999994</v>
      </c>
      <c r="K184" s="55">
        <f t="shared" si="0"/>
        <v>4008504.7943999995</v>
      </c>
      <c r="N184" s="165"/>
    </row>
    <row r="185" spans="1:17" x14ac:dyDescent="0.25">
      <c r="A185" s="33">
        <v>86</v>
      </c>
      <c r="B185" s="49"/>
      <c r="C185" s="50"/>
      <c r="D185" s="49"/>
      <c r="E185" s="49"/>
      <c r="F185" s="51" t="s">
        <v>43</v>
      </c>
      <c r="G185" s="56"/>
      <c r="H185" s="53"/>
      <c r="I185" s="158"/>
      <c r="J185" s="54"/>
      <c r="K185" s="55">
        <f t="shared" si="0"/>
        <v>0</v>
      </c>
      <c r="N185" s="165"/>
    </row>
    <row r="186" spans="1:17" x14ac:dyDescent="0.25">
      <c r="A186" s="33">
        <v>96</v>
      </c>
      <c r="B186" s="49"/>
      <c r="C186" s="50"/>
      <c r="D186" s="49"/>
      <c r="E186" s="49"/>
      <c r="F186" s="51" t="s">
        <v>43</v>
      </c>
      <c r="G186" s="56"/>
      <c r="H186" s="53"/>
      <c r="I186" s="158"/>
      <c r="J186" s="54"/>
      <c r="K186" s="55">
        <f t="shared" si="0"/>
        <v>0</v>
      </c>
      <c r="N186" s="175" t="e">
        <f>#REF!-#REF!</f>
        <v>#REF!</v>
      </c>
    </row>
    <row r="187" spans="1:17" x14ac:dyDescent="0.25">
      <c r="A187" s="48">
        <v>97</v>
      </c>
      <c r="B187" s="49"/>
      <c r="C187" s="50"/>
      <c r="D187" s="49"/>
      <c r="E187" s="49"/>
      <c r="F187" s="51" t="s">
        <v>43</v>
      </c>
      <c r="G187" s="56"/>
      <c r="H187" s="53"/>
      <c r="I187" s="158"/>
      <c r="J187" s="54"/>
      <c r="K187" s="55">
        <f t="shared" si="0"/>
        <v>0</v>
      </c>
      <c r="N187" s="175"/>
    </row>
    <row r="188" spans="1:17" ht="15.75" thickBot="1" x14ac:dyDescent="0.3">
      <c r="A188" s="1"/>
      <c r="B188" s="59"/>
      <c r="C188" s="59"/>
      <c r="D188" s="59"/>
      <c r="E188" s="60"/>
      <c r="F188" s="61"/>
      <c r="G188" s="61"/>
      <c r="H188" s="61"/>
      <c r="I188" s="62"/>
      <c r="J188" s="62"/>
      <c r="K188" s="63">
        <f>SUM(K104:K187)</f>
        <v>253149221.01360002</v>
      </c>
    </row>
    <row r="189" spans="1:17" x14ac:dyDescent="0.25">
      <c r="A189" s="1"/>
      <c r="B189" s="2"/>
      <c r="C189" s="2"/>
      <c r="D189" s="2"/>
      <c r="E189" s="2"/>
      <c r="F189" s="2"/>
      <c r="G189" s="2"/>
      <c r="H189" s="2"/>
      <c r="I189" s="5"/>
      <c r="J189" s="5"/>
      <c r="K189" s="2"/>
    </row>
    <row r="190" spans="1:17" x14ac:dyDescent="0.25">
      <c r="A190" s="1"/>
      <c r="B190" s="2"/>
      <c r="C190" s="2"/>
      <c r="D190" s="2"/>
      <c r="E190" s="2"/>
      <c r="F190" s="2"/>
      <c r="G190" s="2"/>
      <c r="H190" s="2"/>
      <c r="I190" s="5"/>
      <c r="J190" s="5"/>
      <c r="K190" s="2"/>
      <c r="N190" s="171">
        <f>K194+N191</f>
        <v>2386841.2263999879</v>
      </c>
    </row>
    <row r="191" spans="1:17" x14ac:dyDescent="0.25">
      <c r="B191" s="2"/>
      <c r="C191" s="2"/>
      <c r="D191" s="2"/>
      <c r="E191" s="2"/>
      <c r="F191" s="2"/>
      <c r="G191" s="2"/>
      <c r="H191" s="2"/>
      <c r="I191" s="5"/>
      <c r="J191" s="5"/>
      <c r="K191" s="2"/>
      <c r="N191" s="165"/>
    </row>
    <row r="192" spans="1:17" x14ac:dyDescent="0.25">
      <c r="B192" s="2"/>
      <c r="C192" s="2"/>
      <c r="D192" s="8" t="s">
        <v>20</v>
      </c>
      <c r="E192" s="7"/>
      <c r="F192" s="7"/>
      <c r="G192" s="7"/>
      <c r="H192" s="64"/>
      <c r="I192" s="65"/>
      <c r="J192" s="66"/>
      <c r="K192" s="67">
        <f>K188</f>
        <v>253149221.01360002</v>
      </c>
      <c r="N192" s="205">
        <v>8093083.0700000003</v>
      </c>
      <c r="O192" s="206">
        <v>45632</v>
      </c>
      <c r="P192" s="101" t="s">
        <v>306</v>
      </c>
      <c r="Q192" s="101"/>
    </row>
    <row r="193" spans="2:17" x14ac:dyDescent="0.25">
      <c r="B193" s="2"/>
      <c r="C193" s="2"/>
      <c r="D193" s="2"/>
      <c r="E193" s="2"/>
      <c r="F193" s="2"/>
      <c r="G193" s="2"/>
      <c r="H193" s="2"/>
      <c r="I193" s="10"/>
      <c r="J193" s="5"/>
      <c r="K193" s="21"/>
      <c r="L193" s="175">
        <f>M194-K194</f>
        <v>13981373.223600011</v>
      </c>
      <c r="N193" s="101"/>
      <c r="O193" s="101"/>
      <c r="P193" s="101"/>
      <c r="Q193" s="101"/>
    </row>
    <row r="194" spans="2:17" ht="15.75" thickBot="1" x14ac:dyDescent="0.3">
      <c r="B194" s="2"/>
      <c r="C194" s="2"/>
      <c r="D194" s="8" t="s">
        <v>21</v>
      </c>
      <c r="E194" s="8"/>
      <c r="F194" s="8"/>
      <c r="G194" s="8"/>
      <c r="H194" s="68"/>
      <c r="I194" s="10"/>
      <c r="J194" s="9"/>
      <c r="K194" s="69">
        <f>K98-K188</f>
        <v>2386841.2263999879</v>
      </c>
      <c r="L194" s="165">
        <v>4272820.8</v>
      </c>
      <c r="M194" s="219">
        <v>16368214.449999999</v>
      </c>
      <c r="N194" s="188">
        <v>8228869.1500000004</v>
      </c>
      <c r="O194" s="101"/>
      <c r="P194" s="101"/>
      <c r="Q194" s="101"/>
    </row>
    <row r="195" spans="2:17" x14ac:dyDescent="0.25">
      <c r="L195" s="55">
        <v>3951932.49</v>
      </c>
      <c r="M195" s="175">
        <f>M194-L195</f>
        <v>12416281.959999999</v>
      </c>
      <c r="N195" s="188">
        <f>N194-N192</f>
        <v>135786.08000000007</v>
      </c>
      <c r="O195" s="101" t="s">
        <v>307</v>
      </c>
    </row>
    <row r="196" spans="2:17" x14ac:dyDescent="0.25">
      <c r="L196" s="55">
        <v>3861874.64</v>
      </c>
      <c r="M196" s="175">
        <f t="shared" ref="M196" si="3">M195-L196</f>
        <v>8554407.3199999984</v>
      </c>
    </row>
    <row r="197" spans="2:17" x14ac:dyDescent="0.25">
      <c r="L197" s="175">
        <f>K183</f>
        <v>3828584.943</v>
      </c>
      <c r="M197" s="175">
        <f>N198+N197</f>
        <v>6725822.3799999999</v>
      </c>
      <c r="N197" s="175">
        <v>4725822.38</v>
      </c>
    </row>
    <row r="198" spans="2:17" x14ac:dyDescent="0.25">
      <c r="M198" s="175"/>
      <c r="N198">
        <v>2000000</v>
      </c>
    </row>
    <row r="199" spans="2:17" x14ac:dyDescent="0.25">
      <c r="M199" s="175"/>
    </row>
    <row r="200" spans="2:17" x14ac:dyDescent="0.25">
      <c r="M200" s="175"/>
    </row>
    <row r="201" spans="2:17" x14ac:dyDescent="0.25">
      <c r="M201" s="175"/>
    </row>
    <row r="202" spans="2:17" x14ac:dyDescent="0.25">
      <c r="M202" s="175"/>
    </row>
    <row r="203" spans="2:17" x14ac:dyDescent="0.25">
      <c r="M203" s="175"/>
    </row>
    <row r="204" spans="2:17" x14ac:dyDescent="0.25">
      <c r="M204" s="175"/>
    </row>
    <row r="205" spans="2:17" x14ac:dyDescent="0.25">
      <c r="M205" s="175"/>
    </row>
  </sheetData>
  <mergeCells count="2">
    <mergeCell ref="E102:E103"/>
    <mergeCell ref="D5:G5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90"/>
  <sheetViews>
    <sheetView topLeftCell="A55" workbookViewId="0">
      <selection activeCell="M73" sqref="M73"/>
    </sheetView>
  </sheetViews>
  <sheetFormatPr defaultRowHeight="15" x14ac:dyDescent="0.25"/>
  <cols>
    <col min="1" max="1" width="4.42578125" customWidth="1"/>
    <col min="2" max="2" width="8.5703125" customWidth="1"/>
    <col min="3" max="3" width="9.42578125" customWidth="1"/>
    <col min="4" max="4" width="18.5703125" customWidth="1"/>
    <col min="5" max="5" width="13.140625" customWidth="1"/>
    <col min="6" max="6" width="6.42578125" customWidth="1"/>
    <col min="7" max="7" width="16.140625" customWidth="1"/>
    <col min="8" max="8" width="6.85546875" customWidth="1"/>
    <col min="9" max="9" width="10.7109375" customWidth="1"/>
    <col min="11" max="11" width="15.85546875" customWidth="1"/>
    <col min="12" max="12" width="9.140625" customWidth="1"/>
    <col min="15" max="15" width="15.570312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5.5" customHeight="1" x14ac:dyDescent="0.25">
      <c r="A4" s="73" t="s">
        <v>1</v>
      </c>
      <c r="B4" s="73" t="s">
        <v>0</v>
      </c>
      <c r="C4" s="144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74"/>
      <c r="B5" s="74"/>
      <c r="C5" s="74"/>
      <c r="D5" s="74" t="s">
        <v>85</v>
      </c>
      <c r="E5" s="74"/>
      <c r="F5" s="74"/>
      <c r="G5" s="74"/>
      <c r="H5" s="74"/>
      <c r="I5" s="74"/>
      <c r="J5" s="74"/>
      <c r="K5" s="140">
        <v>8507481.9900000002</v>
      </c>
    </row>
    <row r="6" spans="1:11" x14ac:dyDescent="0.25">
      <c r="A6" s="137">
        <v>1</v>
      </c>
      <c r="B6" s="75">
        <v>45488</v>
      </c>
      <c r="C6" s="137" t="s">
        <v>25</v>
      </c>
      <c r="D6" s="138" t="s">
        <v>61</v>
      </c>
      <c r="E6" s="226" t="s">
        <v>60</v>
      </c>
      <c r="F6" s="226"/>
      <c r="G6" s="226"/>
      <c r="H6" s="226"/>
      <c r="I6" s="226"/>
      <c r="J6" s="226"/>
      <c r="K6" s="139">
        <v>2770000</v>
      </c>
    </row>
    <row r="7" spans="1:11" x14ac:dyDescent="0.25">
      <c r="A7" s="74">
        <v>2</v>
      </c>
      <c r="B7" s="79">
        <v>45497</v>
      </c>
      <c r="C7" s="137" t="s">
        <v>25</v>
      </c>
      <c r="D7" s="76" t="s">
        <v>87</v>
      </c>
      <c r="E7" s="226" t="s">
        <v>60</v>
      </c>
      <c r="F7" s="226"/>
      <c r="G7" s="226"/>
      <c r="H7" s="226"/>
      <c r="I7" s="226"/>
      <c r="J7" s="226"/>
      <c r="K7" s="77">
        <v>2000000</v>
      </c>
    </row>
    <row r="8" spans="1:11" x14ac:dyDescent="0.25">
      <c r="A8" s="74">
        <v>3</v>
      </c>
      <c r="B8" s="79">
        <v>45497</v>
      </c>
      <c r="C8" s="74" t="s">
        <v>24</v>
      </c>
      <c r="D8" s="76" t="s">
        <v>86</v>
      </c>
      <c r="E8" s="226" t="s">
        <v>60</v>
      </c>
      <c r="F8" s="226"/>
      <c r="G8" s="226"/>
      <c r="H8" s="226"/>
      <c r="I8" s="226"/>
      <c r="J8" s="226"/>
      <c r="K8" s="140">
        <v>2000000</v>
      </c>
    </row>
    <row r="9" spans="1:11" x14ac:dyDescent="0.25">
      <c r="A9" s="74">
        <v>4</v>
      </c>
      <c r="B9" s="79">
        <v>45506</v>
      </c>
      <c r="C9" s="74" t="s">
        <v>24</v>
      </c>
      <c r="D9" s="76" t="s">
        <v>86</v>
      </c>
      <c r="E9" s="226" t="s">
        <v>60</v>
      </c>
      <c r="F9" s="226"/>
      <c r="G9" s="226"/>
      <c r="H9" s="226"/>
      <c r="I9" s="226"/>
      <c r="J9" s="226"/>
      <c r="K9" s="140">
        <v>1400000</v>
      </c>
    </row>
    <row r="10" spans="1:11" x14ac:dyDescent="0.25">
      <c r="A10" s="74">
        <v>5</v>
      </c>
      <c r="B10" s="80">
        <v>45513</v>
      </c>
      <c r="C10" s="137" t="s">
        <v>25</v>
      </c>
      <c r="D10" s="138" t="s">
        <v>119</v>
      </c>
      <c r="E10" s="226" t="s">
        <v>60</v>
      </c>
      <c r="F10" s="226"/>
      <c r="G10" s="226"/>
      <c r="H10" s="226"/>
      <c r="I10" s="226"/>
      <c r="J10" s="226"/>
      <c r="K10" s="140">
        <v>1000000</v>
      </c>
    </row>
    <row r="11" spans="1:11" x14ac:dyDescent="0.25">
      <c r="A11" s="74">
        <v>6</v>
      </c>
      <c r="B11" s="80">
        <v>45513</v>
      </c>
      <c r="C11" s="74" t="s">
        <v>24</v>
      </c>
      <c r="D11" s="76" t="s">
        <v>86</v>
      </c>
      <c r="E11" s="226" t="s">
        <v>60</v>
      </c>
      <c r="F11" s="226"/>
      <c r="G11" s="226"/>
      <c r="H11" s="226"/>
      <c r="I11" s="226"/>
      <c r="J11" s="226"/>
      <c r="K11" s="140">
        <v>1000000</v>
      </c>
    </row>
    <row r="12" spans="1:11" x14ac:dyDescent="0.25">
      <c r="A12" s="74">
        <v>7</v>
      </c>
      <c r="B12" s="80">
        <v>45517</v>
      </c>
      <c r="C12" s="137" t="s">
        <v>25</v>
      </c>
      <c r="D12" s="76" t="s">
        <v>127</v>
      </c>
      <c r="E12" s="226" t="s">
        <v>60</v>
      </c>
      <c r="F12" s="226"/>
      <c r="G12" s="226"/>
      <c r="H12" s="226"/>
      <c r="I12" s="226"/>
      <c r="J12" s="226"/>
      <c r="K12" s="140">
        <v>2000000</v>
      </c>
    </row>
    <row r="13" spans="1:11" x14ac:dyDescent="0.25">
      <c r="A13" s="74">
        <v>8</v>
      </c>
      <c r="B13" s="80">
        <v>45517</v>
      </c>
      <c r="C13" s="74" t="s">
        <v>80</v>
      </c>
      <c r="D13" s="76" t="s">
        <v>128</v>
      </c>
      <c r="E13" s="226" t="s">
        <v>60</v>
      </c>
      <c r="F13" s="226"/>
      <c r="G13" s="226"/>
      <c r="H13" s="226"/>
      <c r="I13" s="226"/>
      <c r="J13" s="226"/>
      <c r="K13" s="140">
        <v>850000</v>
      </c>
    </row>
    <row r="14" spans="1:11" x14ac:dyDescent="0.25">
      <c r="A14" s="81">
        <v>9</v>
      </c>
      <c r="B14" s="80">
        <v>45525</v>
      </c>
      <c r="C14" s="137" t="s">
        <v>25</v>
      </c>
      <c r="D14" s="76" t="s">
        <v>142</v>
      </c>
      <c r="E14" s="226" t="s">
        <v>60</v>
      </c>
      <c r="F14" s="226"/>
      <c r="G14" s="226"/>
      <c r="H14" s="226"/>
      <c r="I14" s="226"/>
      <c r="J14" s="226"/>
      <c r="K14" s="140">
        <v>700000</v>
      </c>
    </row>
    <row r="15" spans="1:11" x14ac:dyDescent="0.25">
      <c r="A15" s="74">
        <v>10</v>
      </c>
      <c r="B15" s="80">
        <v>45525</v>
      </c>
      <c r="C15" s="74" t="s">
        <v>80</v>
      </c>
      <c r="D15" s="15" t="s">
        <v>141</v>
      </c>
      <c r="E15" s="226" t="s">
        <v>60</v>
      </c>
      <c r="F15" s="226"/>
      <c r="G15" s="226"/>
      <c r="H15" s="226"/>
      <c r="I15" s="226"/>
      <c r="J15" s="226"/>
      <c r="K15" s="140">
        <v>600000</v>
      </c>
    </row>
    <row r="16" spans="1:11" x14ac:dyDescent="0.25">
      <c r="A16" s="74">
        <v>11</v>
      </c>
      <c r="B16" s="75">
        <v>45539</v>
      </c>
      <c r="C16" s="137" t="s">
        <v>25</v>
      </c>
      <c r="D16" s="76" t="s">
        <v>184</v>
      </c>
      <c r="E16" s="226" t="s">
        <v>60</v>
      </c>
      <c r="F16" s="226"/>
      <c r="G16" s="226"/>
      <c r="H16" s="226"/>
      <c r="I16" s="226"/>
      <c r="J16" s="226"/>
      <c r="K16" s="140">
        <v>1900000</v>
      </c>
    </row>
    <row r="17" spans="1:11" x14ac:dyDescent="0.25">
      <c r="A17" s="74">
        <v>12</v>
      </c>
      <c r="B17" s="75">
        <v>45539</v>
      </c>
      <c r="C17" s="74" t="s">
        <v>80</v>
      </c>
      <c r="D17" s="76" t="s">
        <v>185</v>
      </c>
      <c r="E17" s="226" t="s">
        <v>60</v>
      </c>
      <c r="F17" s="226"/>
      <c r="G17" s="226"/>
      <c r="H17" s="226"/>
      <c r="I17" s="226"/>
      <c r="J17" s="226"/>
      <c r="K17" s="140">
        <v>500000</v>
      </c>
    </row>
    <row r="18" spans="1:11" x14ac:dyDescent="0.25">
      <c r="A18" s="84">
        <v>13</v>
      </c>
      <c r="B18" s="75">
        <v>45539</v>
      </c>
      <c r="C18" s="74" t="s">
        <v>24</v>
      </c>
      <c r="D18" s="76" t="s">
        <v>86</v>
      </c>
      <c r="E18" s="226" t="s">
        <v>60</v>
      </c>
      <c r="F18" s="226"/>
      <c r="G18" s="226"/>
      <c r="H18" s="226"/>
      <c r="I18" s="226"/>
      <c r="J18" s="226"/>
      <c r="K18" s="140">
        <v>1100000</v>
      </c>
    </row>
    <row r="19" spans="1:11" x14ac:dyDescent="0.25">
      <c r="A19" s="84">
        <v>14</v>
      </c>
      <c r="B19" s="80">
        <v>45545</v>
      </c>
      <c r="C19" s="137" t="s">
        <v>25</v>
      </c>
      <c r="D19" s="76" t="s">
        <v>192</v>
      </c>
      <c r="E19" s="226" t="s">
        <v>214</v>
      </c>
      <c r="F19" s="226"/>
      <c r="G19" s="226"/>
      <c r="H19" s="226"/>
      <c r="I19" s="226"/>
      <c r="J19" s="226"/>
      <c r="K19" s="140">
        <v>3200000</v>
      </c>
    </row>
    <row r="20" spans="1:11" x14ac:dyDescent="0.25">
      <c r="A20" s="85">
        <v>15</v>
      </c>
      <c r="B20" s="26">
        <v>45551</v>
      </c>
      <c r="C20" s="16" t="s">
        <v>25</v>
      </c>
      <c r="D20" s="15" t="s">
        <v>195</v>
      </c>
      <c r="E20" s="226" t="s">
        <v>214</v>
      </c>
      <c r="F20" s="226"/>
      <c r="G20" s="226"/>
      <c r="H20" s="226"/>
      <c r="I20" s="226"/>
      <c r="J20" s="226"/>
      <c r="K20" s="20">
        <v>1650000</v>
      </c>
    </row>
    <row r="21" spans="1:11" x14ac:dyDescent="0.25">
      <c r="A21" s="88">
        <v>16</v>
      </c>
      <c r="B21" s="86">
        <v>45560</v>
      </c>
      <c r="C21" s="16" t="s">
        <v>25</v>
      </c>
      <c r="D21" s="85" t="s">
        <v>205</v>
      </c>
      <c r="E21" s="226" t="s">
        <v>214</v>
      </c>
      <c r="F21" s="226"/>
      <c r="G21" s="226"/>
      <c r="H21" s="226"/>
      <c r="I21" s="226"/>
      <c r="J21" s="226"/>
      <c r="K21" s="140">
        <v>1000000</v>
      </c>
    </row>
    <row r="22" spans="1:11" x14ac:dyDescent="0.25">
      <c r="A22" s="88">
        <v>17</v>
      </c>
      <c r="B22" s="86">
        <v>45560</v>
      </c>
      <c r="C22" s="74" t="s">
        <v>80</v>
      </c>
      <c r="D22" s="76" t="s">
        <v>206</v>
      </c>
      <c r="E22" s="226" t="s">
        <v>214</v>
      </c>
      <c r="F22" s="226"/>
      <c r="G22" s="226"/>
      <c r="H22" s="226"/>
      <c r="I22" s="226"/>
      <c r="J22" s="226"/>
      <c r="K22" s="140">
        <v>1000000</v>
      </c>
    </row>
    <row r="23" spans="1:11" x14ac:dyDescent="0.25">
      <c r="A23" s="85">
        <v>18</v>
      </c>
      <c r="B23" s="89">
        <v>45568</v>
      </c>
      <c r="C23" s="16" t="s">
        <v>25</v>
      </c>
      <c r="D23" s="76" t="s">
        <v>215</v>
      </c>
      <c r="E23" s="226" t="s">
        <v>214</v>
      </c>
      <c r="F23" s="226"/>
      <c r="G23" s="226"/>
      <c r="H23" s="226"/>
      <c r="I23" s="226"/>
      <c r="J23" s="226"/>
      <c r="K23" s="140">
        <v>3300000</v>
      </c>
    </row>
    <row r="24" spans="1:11" x14ac:dyDescent="0.25">
      <c r="A24" s="88">
        <v>19</v>
      </c>
      <c r="B24" s="89">
        <v>45568</v>
      </c>
      <c r="C24" s="74" t="s">
        <v>80</v>
      </c>
      <c r="D24" s="85" t="s">
        <v>216</v>
      </c>
      <c r="E24" s="226" t="s">
        <v>214</v>
      </c>
      <c r="F24" s="226"/>
      <c r="G24" s="226"/>
      <c r="H24" s="226"/>
      <c r="I24" s="226"/>
      <c r="J24" s="226"/>
      <c r="K24" s="140">
        <v>700000</v>
      </c>
    </row>
    <row r="25" spans="1:11" x14ac:dyDescent="0.25">
      <c r="A25" s="88">
        <v>20</v>
      </c>
      <c r="B25" s="86">
        <v>45575</v>
      </c>
      <c r="C25" s="16" t="s">
        <v>25</v>
      </c>
      <c r="D25" s="85" t="s">
        <v>227</v>
      </c>
      <c r="E25" s="226" t="s">
        <v>214</v>
      </c>
      <c r="F25" s="226"/>
      <c r="G25" s="226"/>
      <c r="H25" s="226"/>
      <c r="I25" s="226"/>
      <c r="J25" s="226"/>
      <c r="K25" s="140">
        <v>1250000</v>
      </c>
    </row>
    <row r="26" spans="1:11" x14ac:dyDescent="0.25">
      <c r="A26" s="88">
        <v>21</v>
      </c>
      <c r="B26" s="86">
        <v>45575</v>
      </c>
      <c r="C26" s="74" t="s">
        <v>80</v>
      </c>
      <c r="D26" s="76" t="s">
        <v>238</v>
      </c>
      <c r="E26" s="226" t="s">
        <v>214</v>
      </c>
      <c r="F26" s="226"/>
      <c r="G26" s="226"/>
      <c r="H26" s="226"/>
      <c r="I26" s="226"/>
      <c r="J26" s="226"/>
      <c r="K26" s="140">
        <v>2750000</v>
      </c>
    </row>
    <row r="27" spans="1:11" x14ac:dyDescent="0.25">
      <c r="A27" s="88">
        <v>22</v>
      </c>
      <c r="B27" s="89">
        <v>45586</v>
      </c>
      <c r="C27" s="90" t="s">
        <v>135</v>
      </c>
      <c r="D27" s="85" t="s">
        <v>239</v>
      </c>
      <c r="E27" s="226" t="s">
        <v>214</v>
      </c>
      <c r="F27" s="226"/>
      <c r="G27" s="226"/>
      <c r="H27" s="226"/>
      <c r="I27" s="226"/>
      <c r="J27" s="226"/>
      <c r="K27" s="140">
        <v>1400000</v>
      </c>
    </row>
    <row r="28" spans="1:11" x14ac:dyDescent="0.25">
      <c r="A28" s="88">
        <v>23</v>
      </c>
      <c r="B28" s="89">
        <v>45586</v>
      </c>
      <c r="C28" s="16" t="s">
        <v>25</v>
      </c>
      <c r="D28" s="85" t="s">
        <v>240</v>
      </c>
      <c r="E28" s="226" t="s">
        <v>214</v>
      </c>
      <c r="F28" s="226"/>
      <c r="G28" s="226"/>
      <c r="H28" s="226"/>
      <c r="I28" s="226"/>
      <c r="J28" s="226"/>
      <c r="K28" s="140">
        <v>4600000</v>
      </c>
    </row>
    <row r="29" spans="1:11" x14ac:dyDescent="0.25">
      <c r="A29" s="88">
        <v>24</v>
      </c>
      <c r="B29" s="89">
        <v>45616</v>
      </c>
      <c r="C29" s="16" t="s">
        <v>25</v>
      </c>
      <c r="D29" s="76" t="s">
        <v>286</v>
      </c>
      <c r="E29" s="226" t="s">
        <v>214</v>
      </c>
      <c r="F29" s="226"/>
      <c r="G29" s="226"/>
      <c r="H29" s="226"/>
      <c r="I29" s="226"/>
      <c r="J29" s="226"/>
      <c r="K29" s="140">
        <v>2200000</v>
      </c>
    </row>
    <row r="30" spans="1:11" x14ac:dyDescent="0.25">
      <c r="A30" s="88">
        <v>25</v>
      </c>
      <c r="B30" s="89">
        <v>45616</v>
      </c>
      <c r="C30" s="74" t="s">
        <v>80</v>
      </c>
      <c r="D30" s="85" t="s">
        <v>287</v>
      </c>
      <c r="E30" s="226" t="s">
        <v>214</v>
      </c>
      <c r="F30" s="226"/>
      <c r="G30" s="226"/>
      <c r="H30" s="226"/>
      <c r="I30" s="226"/>
      <c r="J30" s="226"/>
      <c r="K30" s="140">
        <v>1000000</v>
      </c>
    </row>
    <row r="31" spans="1:11" x14ac:dyDescent="0.25">
      <c r="A31" s="88">
        <v>26</v>
      </c>
      <c r="B31" s="113">
        <v>45631</v>
      </c>
      <c r="C31" s="85" t="s">
        <v>300</v>
      </c>
      <c r="D31" s="204">
        <v>1.7333823729927E+16</v>
      </c>
      <c r="E31" s="226" t="s">
        <v>214</v>
      </c>
      <c r="F31" s="226"/>
      <c r="G31" s="226"/>
      <c r="H31" s="226"/>
      <c r="I31" s="226"/>
      <c r="J31" s="226"/>
      <c r="K31" s="140">
        <v>1500000</v>
      </c>
    </row>
    <row r="32" spans="1:11" x14ac:dyDescent="0.25">
      <c r="A32" s="88">
        <v>27</v>
      </c>
      <c r="B32" s="113">
        <v>45631</v>
      </c>
      <c r="C32" s="74" t="s">
        <v>80</v>
      </c>
      <c r="D32" s="76" t="s">
        <v>301</v>
      </c>
      <c r="E32" s="226" t="s">
        <v>214</v>
      </c>
      <c r="F32" s="226"/>
      <c r="G32" s="226"/>
      <c r="H32" s="226"/>
      <c r="I32" s="226"/>
      <c r="J32" s="226"/>
      <c r="K32" s="140">
        <v>400000</v>
      </c>
    </row>
    <row r="33" spans="1:11" x14ac:dyDescent="0.25">
      <c r="A33" s="88">
        <v>28</v>
      </c>
      <c r="B33" s="113">
        <v>45631</v>
      </c>
      <c r="C33" s="74" t="s">
        <v>80</v>
      </c>
      <c r="D33" s="85" t="s">
        <v>302</v>
      </c>
      <c r="E33" s="226" t="s">
        <v>214</v>
      </c>
      <c r="F33" s="226"/>
      <c r="G33" s="226"/>
      <c r="H33" s="226"/>
      <c r="I33" s="226"/>
      <c r="J33" s="226"/>
      <c r="K33" s="140">
        <v>200000</v>
      </c>
    </row>
    <row r="34" spans="1:11" x14ac:dyDescent="0.25">
      <c r="A34" s="88">
        <v>29</v>
      </c>
      <c r="B34" s="113">
        <v>45631</v>
      </c>
      <c r="C34" s="16" t="s">
        <v>25</v>
      </c>
      <c r="D34" s="76" t="s">
        <v>303</v>
      </c>
      <c r="E34" s="226" t="s">
        <v>214</v>
      </c>
      <c r="F34" s="226"/>
      <c r="G34" s="226"/>
      <c r="H34" s="226"/>
      <c r="I34" s="226"/>
      <c r="J34" s="226"/>
      <c r="K34" s="140">
        <v>2300000</v>
      </c>
    </row>
    <row r="35" spans="1:11" x14ac:dyDescent="0.25">
      <c r="A35" s="88">
        <v>30</v>
      </c>
      <c r="B35" s="89">
        <v>45643</v>
      </c>
      <c r="C35" s="90" t="s">
        <v>135</v>
      </c>
      <c r="D35" s="85" t="s">
        <v>321</v>
      </c>
      <c r="E35" s="226" t="s">
        <v>214</v>
      </c>
      <c r="F35" s="226"/>
      <c r="G35" s="226"/>
      <c r="H35" s="226"/>
      <c r="I35" s="226"/>
      <c r="J35" s="226"/>
      <c r="K35" s="140">
        <v>4000000</v>
      </c>
    </row>
    <row r="36" spans="1:11" x14ac:dyDescent="0.25">
      <c r="A36" s="88">
        <v>31</v>
      </c>
      <c r="B36" s="89"/>
      <c r="C36" s="90"/>
      <c r="D36" s="85"/>
      <c r="E36" s="82"/>
      <c r="F36" s="82"/>
      <c r="G36" s="82"/>
      <c r="H36" s="82"/>
      <c r="I36" s="82"/>
      <c r="J36" s="82"/>
      <c r="K36" s="140"/>
    </row>
    <row r="37" spans="1:11" x14ac:dyDescent="0.25">
      <c r="A37" s="88">
        <v>32</v>
      </c>
      <c r="B37" s="89"/>
      <c r="C37" s="90"/>
      <c r="D37" s="85"/>
      <c r="E37" s="82"/>
      <c r="F37" s="82"/>
      <c r="G37" s="82"/>
      <c r="H37" s="82"/>
      <c r="I37" s="82"/>
      <c r="J37" s="82"/>
      <c r="K37" s="140"/>
    </row>
    <row r="38" spans="1:11" x14ac:dyDescent="0.25">
      <c r="A38" s="88">
        <v>33</v>
      </c>
      <c r="B38" s="89"/>
      <c r="C38" s="90"/>
      <c r="D38" s="85"/>
      <c r="E38" s="82"/>
      <c r="F38" s="82"/>
      <c r="G38" s="82"/>
      <c r="H38" s="82"/>
      <c r="I38" s="82"/>
      <c r="J38" s="82"/>
      <c r="K38" s="140"/>
    </row>
    <row r="39" spans="1:11" x14ac:dyDescent="0.25">
      <c r="A39" s="88">
        <v>34</v>
      </c>
      <c r="B39" s="89"/>
      <c r="C39" s="90"/>
      <c r="D39" s="85"/>
      <c r="E39" s="82"/>
      <c r="F39" s="72"/>
      <c r="G39" s="82"/>
      <c r="H39" s="82"/>
      <c r="I39" s="82"/>
      <c r="J39" s="82"/>
      <c r="K39" s="140"/>
    </row>
    <row r="40" spans="1:11" x14ac:dyDescent="0.25">
      <c r="A40" s="88">
        <v>35</v>
      </c>
      <c r="B40" s="89"/>
      <c r="C40" s="90"/>
      <c r="D40" s="85"/>
      <c r="E40" s="82"/>
      <c r="F40" s="82"/>
      <c r="G40" s="82"/>
      <c r="H40" s="82"/>
      <c r="I40" s="82"/>
      <c r="J40" s="82"/>
      <c r="K40" s="140"/>
    </row>
    <row r="41" spans="1:11" x14ac:dyDescent="0.25">
      <c r="A41" s="88">
        <v>36</v>
      </c>
      <c r="B41" s="89"/>
      <c r="C41" s="90"/>
      <c r="D41" s="85"/>
      <c r="E41" s="82"/>
      <c r="F41" s="82"/>
      <c r="G41" s="82"/>
      <c r="H41" s="82"/>
      <c r="I41" s="82"/>
      <c r="J41" s="82"/>
      <c r="K41" s="140"/>
    </row>
    <row r="42" spans="1:11" x14ac:dyDescent="0.25">
      <c r="A42" s="88">
        <v>37</v>
      </c>
      <c r="B42" s="89"/>
      <c r="C42" s="90"/>
      <c r="D42" s="85"/>
      <c r="E42" s="82"/>
      <c r="F42" s="82"/>
      <c r="G42" s="82"/>
      <c r="H42" s="82"/>
      <c r="I42" s="82"/>
      <c r="J42" s="82"/>
      <c r="K42" s="140"/>
    </row>
    <row r="43" spans="1:11" x14ac:dyDescent="0.25">
      <c r="A43" s="88">
        <v>38</v>
      </c>
      <c r="B43" s="89"/>
      <c r="C43" s="90"/>
      <c r="D43" s="85"/>
      <c r="E43" s="82"/>
      <c r="F43" s="82"/>
      <c r="G43" s="82"/>
      <c r="H43" s="82"/>
      <c r="I43" s="82"/>
      <c r="J43" s="82"/>
      <c r="K43" s="140"/>
    </row>
    <row r="44" spans="1:11" x14ac:dyDescent="0.25">
      <c r="A44" s="88">
        <v>39</v>
      </c>
      <c r="B44" s="89"/>
      <c r="C44" s="90"/>
      <c r="D44" s="85"/>
      <c r="E44" s="82"/>
      <c r="F44" s="82"/>
      <c r="G44" s="82"/>
      <c r="H44" s="82"/>
      <c r="I44" s="82"/>
      <c r="J44" s="82"/>
      <c r="K44" s="140"/>
    </row>
    <row r="45" spans="1:11" ht="15.75" thickBot="1" x14ac:dyDescent="0.3">
      <c r="A45" s="88">
        <v>40</v>
      </c>
      <c r="B45" s="89"/>
      <c r="C45" s="90"/>
      <c r="D45" s="85"/>
      <c r="E45" s="82"/>
      <c r="F45" s="82"/>
      <c r="G45" s="82"/>
      <c r="H45" s="82"/>
      <c r="I45" s="82"/>
      <c r="J45" s="82"/>
      <c r="K45" s="140"/>
    </row>
    <row r="46" spans="1:11" ht="16.5" thickTop="1" thickBot="1" x14ac:dyDescent="0.3">
      <c r="A46" s="88">
        <v>41</v>
      </c>
      <c r="B46" s="89"/>
      <c r="C46" s="90"/>
      <c r="D46" s="85"/>
      <c r="E46" s="82"/>
      <c r="F46" s="82"/>
      <c r="G46" s="82"/>
      <c r="H46" s="82"/>
      <c r="I46" s="82"/>
      <c r="J46" s="82"/>
      <c r="K46" s="169">
        <f>SUM(K5:K44)</f>
        <v>58777481.990000002</v>
      </c>
    </row>
    <row r="47" spans="1:11" ht="15.75" thickTop="1" x14ac:dyDescent="0.25"/>
    <row r="48" spans="1:11" x14ac:dyDescent="0.25">
      <c r="A48" s="88"/>
      <c r="B48" s="96"/>
      <c r="C48" s="97"/>
      <c r="D48" s="98"/>
      <c r="E48" s="98"/>
      <c r="F48" s="98"/>
      <c r="G48" s="98"/>
      <c r="H48" s="98"/>
      <c r="I48" s="98"/>
      <c r="J48" s="98"/>
      <c r="K48" s="99"/>
    </row>
    <row r="49" spans="1:11" x14ac:dyDescent="0.25">
      <c r="A49" s="88"/>
      <c r="B49" s="96"/>
      <c r="C49" s="97"/>
      <c r="D49" s="98"/>
      <c r="E49" s="98"/>
      <c r="F49" s="98"/>
      <c r="G49" s="98"/>
      <c r="H49" s="98"/>
      <c r="I49" s="98"/>
      <c r="J49" s="98"/>
      <c r="K49" s="99"/>
    </row>
    <row r="50" spans="1:11" x14ac:dyDescent="0.25">
      <c r="A50" s="88"/>
      <c r="B50" s="96"/>
      <c r="C50" s="97"/>
      <c r="D50" s="98"/>
      <c r="I50" s="98"/>
      <c r="J50" s="98"/>
      <c r="K50" s="99"/>
    </row>
    <row r="51" spans="1:11" x14ac:dyDescent="0.25">
      <c r="A51" s="88"/>
      <c r="B51" s="96"/>
      <c r="C51" s="97"/>
      <c r="D51" s="98"/>
      <c r="E51" s="100" t="s">
        <v>27</v>
      </c>
      <c r="F51" s="101"/>
      <c r="G51" s="101"/>
      <c r="H51" s="101"/>
      <c r="I51" s="98"/>
      <c r="J51" s="98"/>
      <c r="K51" s="99"/>
    </row>
    <row r="52" spans="1:11" ht="15.75" thickBot="1" x14ac:dyDescent="0.3">
      <c r="A52" s="88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ht="51" x14ac:dyDescent="0.25">
      <c r="A53" s="160"/>
      <c r="B53" s="37" t="s">
        <v>10</v>
      </c>
      <c r="C53" s="103" t="s">
        <v>11</v>
      </c>
      <c r="D53" s="103"/>
      <c r="E53" s="103" t="s">
        <v>28</v>
      </c>
      <c r="F53" s="104" t="s">
        <v>13</v>
      </c>
      <c r="G53" s="104" t="s">
        <v>14</v>
      </c>
      <c r="H53" s="103" t="s">
        <v>15</v>
      </c>
      <c r="I53" s="227" t="s">
        <v>16</v>
      </c>
      <c r="J53" s="229" t="s">
        <v>29</v>
      </c>
      <c r="K53" s="41" t="s">
        <v>18</v>
      </c>
    </row>
    <row r="54" spans="1:11" x14ac:dyDescent="0.25">
      <c r="A54" s="160"/>
      <c r="B54" s="106"/>
      <c r="C54" s="107"/>
      <c r="D54" s="108" t="s">
        <v>19</v>
      </c>
      <c r="E54" s="107"/>
      <c r="F54" s="108"/>
      <c r="G54" s="108"/>
      <c r="H54" s="107"/>
      <c r="I54" s="228"/>
      <c r="J54" s="230"/>
      <c r="K54" s="109"/>
    </row>
    <row r="55" spans="1:11" x14ac:dyDescent="0.25">
      <c r="A55" s="110">
        <v>1</v>
      </c>
      <c r="B55" s="74">
        <v>790007</v>
      </c>
      <c r="C55" s="80">
        <v>45482</v>
      </c>
      <c r="D55" s="80" t="s">
        <v>42</v>
      </c>
      <c r="E55" s="74" t="s">
        <v>36</v>
      </c>
      <c r="F55" s="74" t="s">
        <v>43</v>
      </c>
      <c r="G55" s="74" t="s">
        <v>31</v>
      </c>
      <c r="H55" s="140" t="s">
        <v>33</v>
      </c>
      <c r="I55" s="140">
        <v>47580</v>
      </c>
      <c r="J55" s="74">
        <v>79.229200000000006</v>
      </c>
      <c r="K55" s="111">
        <f>I55*J55</f>
        <v>3769725.3360000001</v>
      </c>
    </row>
    <row r="56" spans="1:11" x14ac:dyDescent="0.25">
      <c r="A56" s="110">
        <v>2</v>
      </c>
      <c r="B56" s="83">
        <v>796212</v>
      </c>
      <c r="C56" s="80">
        <v>45501</v>
      </c>
      <c r="D56" s="80" t="s">
        <v>73</v>
      </c>
      <c r="E56" s="74" t="s">
        <v>55</v>
      </c>
      <c r="F56" s="74" t="s">
        <v>30</v>
      </c>
      <c r="G56" s="74" t="s">
        <v>31</v>
      </c>
      <c r="H56" s="85" t="s">
        <v>32</v>
      </c>
      <c r="I56" s="77">
        <v>46811</v>
      </c>
      <c r="J56" s="74">
        <v>84.3292</v>
      </c>
      <c r="K56" s="111">
        <f t="shared" ref="K56:K71" si="0">I56*J56</f>
        <v>3947534.1812</v>
      </c>
    </row>
    <row r="57" spans="1:11" x14ac:dyDescent="0.25">
      <c r="A57" s="110">
        <v>3</v>
      </c>
      <c r="B57" s="83">
        <v>799506</v>
      </c>
      <c r="C57" s="80">
        <v>45510</v>
      </c>
      <c r="D57" s="80" t="s">
        <v>114</v>
      </c>
      <c r="E57" s="74" t="s">
        <v>52</v>
      </c>
      <c r="F57" s="74" t="s">
        <v>30</v>
      </c>
      <c r="G57" s="74" t="s">
        <v>31</v>
      </c>
      <c r="H57" s="85" t="s">
        <v>33</v>
      </c>
      <c r="I57" s="77">
        <v>45780</v>
      </c>
      <c r="J57" s="74">
        <v>83.1892</v>
      </c>
      <c r="K57" s="111">
        <f t="shared" si="0"/>
        <v>3808401.5759999999</v>
      </c>
    </row>
    <row r="58" spans="1:11" x14ac:dyDescent="0.25">
      <c r="A58" s="110">
        <v>4</v>
      </c>
      <c r="B58" s="83">
        <v>803539</v>
      </c>
      <c r="C58" s="80">
        <v>45519</v>
      </c>
      <c r="D58" s="80" t="s">
        <v>75</v>
      </c>
      <c r="E58" s="74" t="s">
        <v>76</v>
      </c>
      <c r="F58" s="74" t="s">
        <v>30</v>
      </c>
      <c r="G58" s="74" t="s">
        <v>31</v>
      </c>
      <c r="H58" s="85" t="s">
        <v>32</v>
      </c>
      <c r="I58" s="77">
        <v>50662</v>
      </c>
      <c r="J58" s="74">
        <v>84.3292</v>
      </c>
      <c r="K58" s="111">
        <f t="shared" si="0"/>
        <v>4272285.9304</v>
      </c>
    </row>
    <row r="59" spans="1:11" x14ac:dyDescent="0.25">
      <c r="A59" s="110">
        <v>5</v>
      </c>
      <c r="B59" s="174">
        <v>809553</v>
      </c>
      <c r="C59" s="80">
        <v>45534</v>
      </c>
      <c r="D59" s="80" t="s">
        <v>164</v>
      </c>
      <c r="E59" s="74" t="s">
        <v>102</v>
      </c>
      <c r="F59" s="74" t="s">
        <v>30</v>
      </c>
      <c r="G59" s="74" t="s">
        <v>31</v>
      </c>
      <c r="H59" s="85" t="s">
        <v>33</v>
      </c>
      <c r="I59" s="77">
        <v>45892</v>
      </c>
      <c r="J59" s="74">
        <v>83.1892</v>
      </c>
      <c r="K59" s="111">
        <f t="shared" si="0"/>
        <v>3817718.7664000001</v>
      </c>
    </row>
    <row r="60" spans="1:11" x14ac:dyDescent="0.25">
      <c r="A60" s="110">
        <v>6</v>
      </c>
      <c r="B60" s="174">
        <v>810608</v>
      </c>
      <c r="C60" s="80">
        <v>45539</v>
      </c>
      <c r="D60" s="80" t="s">
        <v>114</v>
      </c>
      <c r="E60" s="74" t="s">
        <v>52</v>
      </c>
      <c r="F60" s="74" t="s">
        <v>30</v>
      </c>
      <c r="G60" s="74" t="s">
        <v>31</v>
      </c>
      <c r="H60" s="85" t="s">
        <v>32</v>
      </c>
      <c r="I60" s="77">
        <v>46058</v>
      </c>
      <c r="J60" s="74">
        <v>84.3292</v>
      </c>
      <c r="K60" s="111">
        <f t="shared" si="0"/>
        <v>3884034.2936</v>
      </c>
    </row>
    <row r="61" spans="1:11" x14ac:dyDescent="0.25">
      <c r="A61" s="110">
        <v>7</v>
      </c>
      <c r="B61" s="83">
        <v>818517</v>
      </c>
      <c r="C61" s="80">
        <v>45560</v>
      </c>
      <c r="D61" s="80" t="s">
        <v>164</v>
      </c>
      <c r="E61" s="74" t="s">
        <v>102</v>
      </c>
      <c r="F61" s="74" t="s">
        <v>30</v>
      </c>
      <c r="G61" s="74" t="s">
        <v>31</v>
      </c>
      <c r="H61" s="85" t="s">
        <v>33</v>
      </c>
      <c r="I61" s="77">
        <v>45957</v>
      </c>
      <c r="J61" s="74">
        <v>83.1892</v>
      </c>
      <c r="K61" s="111">
        <f t="shared" si="0"/>
        <v>3823126.0644</v>
      </c>
    </row>
    <row r="62" spans="1:11" x14ac:dyDescent="0.25">
      <c r="A62" s="167">
        <v>8</v>
      </c>
      <c r="B62" s="83">
        <v>819018</v>
      </c>
      <c r="C62" s="80">
        <v>45563</v>
      </c>
      <c r="D62" s="80" t="s">
        <v>211</v>
      </c>
      <c r="E62" s="74" t="s">
        <v>67</v>
      </c>
      <c r="F62" s="74" t="s">
        <v>30</v>
      </c>
      <c r="G62" s="74" t="s">
        <v>31</v>
      </c>
      <c r="H62" s="85" t="s">
        <v>32</v>
      </c>
      <c r="I62" s="77">
        <v>45918</v>
      </c>
      <c r="J62" s="74">
        <v>84.3292</v>
      </c>
      <c r="K62" s="111">
        <f t="shared" si="0"/>
        <v>3872228.2056</v>
      </c>
    </row>
    <row r="63" spans="1:11" x14ac:dyDescent="0.25">
      <c r="A63" s="167">
        <v>9</v>
      </c>
      <c r="B63" s="83">
        <v>822666</v>
      </c>
      <c r="C63" s="80">
        <v>45578</v>
      </c>
      <c r="D63" s="80" t="s">
        <v>188</v>
      </c>
      <c r="E63" s="74" t="s">
        <v>189</v>
      </c>
      <c r="F63" s="74" t="s">
        <v>30</v>
      </c>
      <c r="G63" s="74" t="s">
        <v>31</v>
      </c>
      <c r="H63" s="140" t="s">
        <v>33</v>
      </c>
      <c r="I63" s="77">
        <v>45657</v>
      </c>
      <c r="J63" s="74">
        <v>91.769199999999998</v>
      </c>
      <c r="K63" s="111">
        <f t="shared" si="0"/>
        <v>4189906.3643999998</v>
      </c>
    </row>
    <row r="64" spans="1:11" x14ac:dyDescent="0.25">
      <c r="A64" s="167">
        <v>10</v>
      </c>
      <c r="B64" s="83">
        <v>823790</v>
      </c>
      <c r="C64" s="80">
        <v>45582</v>
      </c>
      <c r="D64" s="80" t="s">
        <v>233</v>
      </c>
      <c r="E64" s="74" t="s">
        <v>45</v>
      </c>
      <c r="F64" s="74" t="s">
        <v>30</v>
      </c>
      <c r="G64" s="74" t="s">
        <v>31</v>
      </c>
      <c r="H64" s="85" t="s">
        <v>32</v>
      </c>
      <c r="I64" s="77">
        <v>46935</v>
      </c>
      <c r="J64" s="74">
        <v>90.909199999999998</v>
      </c>
      <c r="K64" s="111">
        <f t="shared" si="0"/>
        <v>4266823.3020000001</v>
      </c>
    </row>
    <row r="65" spans="1:15" x14ac:dyDescent="0.25">
      <c r="A65" s="168">
        <v>11</v>
      </c>
      <c r="B65" s="85">
        <v>833746</v>
      </c>
      <c r="C65" s="86">
        <v>45608</v>
      </c>
      <c r="D65" s="80" t="s">
        <v>164</v>
      </c>
      <c r="E65" s="74" t="s">
        <v>102</v>
      </c>
      <c r="F65" s="74" t="s">
        <v>30</v>
      </c>
      <c r="G65" s="74" t="s">
        <v>31</v>
      </c>
      <c r="H65" s="140" t="s">
        <v>33</v>
      </c>
      <c r="I65" s="87">
        <v>46127</v>
      </c>
      <c r="J65" s="85">
        <v>91.769199999999998</v>
      </c>
      <c r="K65" s="111">
        <f t="shared" si="0"/>
        <v>4233037.8883999996</v>
      </c>
    </row>
    <row r="66" spans="1:15" x14ac:dyDescent="0.25">
      <c r="A66" s="168">
        <v>12</v>
      </c>
      <c r="B66" s="85">
        <v>842510</v>
      </c>
      <c r="C66" s="86">
        <v>45626</v>
      </c>
      <c r="D66" s="85" t="s">
        <v>295</v>
      </c>
      <c r="E66" s="85" t="s">
        <v>235</v>
      </c>
      <c r="F66" s="74" t="s">
        <v>30</v>
      </c>
      <c r="G66" s="74" t="s">
        <v>31</v>
      </c>
      <c r="H66" s="85" t="s">
        <v>32</v>
      </c>
      <c r="I66" s="87">
        <v>46152</v>
      </c>
      <c r="J66" s="74">
        <v>90.909199999999998</v>
      </c>
      <c r="K66" s="111">
        <f t="shared" si="0"/>
        <v>4195641.3984000003</v>
      </c>
    </row>
    <row r="67" spans="1:15" x14ac:dyDescent="0.25">
      <c r="A67" s="168">
        <v>13</v>
      </c>
      <c r="B67" s="85">
        <v>852830</v>
      </c>
      <c r="C67" s="86">
        <v>45657</v>
      </c>
      <c r="D67" s="80" t="s">
        <v>211</v>
      </c>
      <c r="E67" s="74" t="s">
        <v>67</v>
      </c>
      <c r="F67" s="74" t="s">
        <v>30</v>
      </c>
      <c r="G67" s="74" t="s">
        <v>31</v>
      </c>
      <c r="H67" s="85" t="s">
        <v>32</v>
      </c>
      <c r="I67" s="87">
        <v>46155</v>
      </c>
      <c r="J67" s="74">
        <v>90.909199999999998</v>
      </c>
      <c r="K67" s="111">
        <f t="shared" si="0"/>
        <v>4195914.1260000002</v>
      </c>
    </row>
    <row r="68" spans="1:15" x14ac:dyDescent="0.25">
      <c r="A68" s="168">
        <v>14</v>
      </c>
      <c r="B68" s="85"/>
      <c r="C68" s="86"/>
      <c r="E68" s="85"/>
      <c r="F68" s="74" t="s">
        <v>30</v>
      </c>
      <c r="G68" s="74" t="s">
        <v>31</v>
      </c>
      <c r="H68" s="85"/>
      <c r="I68" s="87"/>
      <c r="J68" s="85"/>
      <c r="K68" s="111">
        <f t="shared" si="0"/>
        <v>0</v>
      </c>
    </row>
    <row r="69" spans="1:15" x14ac:dyDescent="0.25">
      <c r="A69" s="168">
        <v>15</v>
      </c>
      <c r="B69" s="85"/>
      <c r="C69" s="85"/>
      <c r="D69" s="85"/>
      <c r="E69" s="85"/>
      <c r="F69" s="74" t="s">
        <v>30</v>
      </c>
      <c r="G69" s="74" t="s">
        <v>31</v>
      </c>
      <c r="H69" s="85"/>
      <c r="I69" s="87"/>
      <c r="J69" s="85"/>
      <c r="K69" s="111">
        <f t="shared" si="0"/>
        <v>0</v>
      </c>
    </row>
    <row r="70" spans="1:15" x14ac:dyDescent="0.25">
      <c r="A70" s="168">
        <v>16</v>
      </c>
      <c r="B70" s="85"/>
      <c r="C70" s="85"/>
      <c r="D70" s="85"/>
      <c r="E70" s="85"/>
      <c r="F70" s="74" t="s">
        <v>30</v>
      </c>
      <c r="G70" s="74" t="s">
        <v>31</v>
      </c>
      <c r="H70" s="85"/>
      <c r="I70" s="87"/>
      <c r="J70" s="85"/>
      <c r="K70" s="111">
        <f t="shared" si="0"/>
        <v>0</v>
      </c>
    </row>
    <row r="71" spans="1:15" x14ac:dyDescent="0.25">
      <c r="A71" s="168">
        <v>17</v>
      </c>
      <c r="B71" s="112"/>
      <c r="C71" s="113"/>
      <c r="D71" s="112"/>
      <c r="E71" s="112"/>
      <c r="F71" s="74" t="s">
        <v>30</v>
      </c>
      <c r="G71" s="74" t="s">
        <v>31</v>
      </c>
      <c r="H71" s="85"/>
      <c r="I71" s="87"/>
      <c r="J71" s="85"/>
      <c r="K71" s="111">
        <f t="shared" si="0"/>
        <v>0</v>
      </c>
    </row>
    <row r="72" spans="1:15" x14ac:dyDescent="0.25">
      <c r="B72" s="115"/>
      <c r="C72" s="115"/>
      <c r="D72" s="115"/>
      <c r="E72" s="116"/>
      <c r="F72" s="117"/>
      <c r="G72" s="117"/>
      <c r="H72" s="117"/>
      <c r="I72" s="118"/>
      <c r="J72" s="119"/>
      <c r="K72" s="120">
        <f>SUM(K55:K71)</f>
        <v>52276377.432800002</v>
      </c>
    </row>
    <row r="73" spans="1:15" x14ac:dyDescent="0.25">
      <c r="B73" s="72"/>
      <c r="C73" s="72"/>
      <c r="D73" s="72"/>
      <c r="E73" s="72"/>
      <c r="F73" s="72"/>
      <c r="G73" s="72"/>
      <c r="H73" s="72"/>
      <c r="I73" s="72"/>
      <c r="J73" s="72"/>
      <c r="K73" s="72"/>
    </row>
    <row r="74" spans="1:15" ht="15.75" thickBot="1" x14ac:dyDescent="0.3">
      <c r="B74" s="72"/>
      <c r="C74" s="72"/>
      <c r="D74" s="72"/>
      <c r="E74" s="72"/>
      <c r="F74" s="72"/>
      <c r="G74" s="72"/>
      <c r="H74" s="72"/>
      <c r="I74" s="72"/>
      <c r="J74" s="72"/>
      <c r="K74" s="72"/>
    </row>
    <row r="75" spans="1:15" ht="16.5" thickTop="1" thickBot="1" x14ac:dyDescent="0.3">
      <c r="B75" s="72"/>
      <c r="C75" s="72"/>
      <c r="D75" s="72"/>
      <c r="E75" s="121" t="s">
        <v>38</v>
      </c>
      <c r="F75" s="121"/>
      <c r="G75" s="121" t="s">
        <v>39</v>
      </c>
      <c r="H75" s="122"/>
      <c r="I75" s="122"/>
      <c r="J75" s="122"/>
      <c r="K75" s="123">
        <f>K72</f>
        <v>52276377.432800002</v>
      </c>
      <c r="O75" s="172">
        <f>K31-K72</f>
        <v>-50776377.432800002</v>
      </c>
    </row>
    <row r="76" spans="1:15" ht="16.5" thickTop="1" thickBot="1" x14ac:dyDescent="0.3">
      <c r="B76" s="72"/>
      <c r="C76" s="72"/>
      <c r="D76" s="72"/>
      <c r="E76" s="33"/>
      <c r="F76" s="33"/>
      <c r="G76" s="33"/>
      <c r="H76" s="72"/>
      <c r="I76" s="72"/>
      <c r="J76" s="72"/>
      <c r="K76" s="72"/>
    </row>
    <row r="77" spans="1:15" ht="16.5" thickTop="1" thickBot="1" x14ac:dyDescent="0.3">
      <c r="B77" s="72"/>
      <c r="C77" s="72"/>
      <c r="D77" s="72"/>
      <c r="E77" s="121" t="s">
        <v>40</v>
      </c>
      <c r="F77" s="121"/>
      <c r="G77" s="121" t="s">
        <v>41</v>
      </c>
      <c r="H77" s="122"/>
      <c r="I77" s="122"/>
      <c r="J77" s="122"/>
      <c r="K77" s="124">
        <f>K46-K72</f>
        <v>6501104.5571999997</v>
      </c>
    </row>
    <row r="78" spans="1:15" ht="15.75" thickTop="1" x14ac:dyDescent="0.25">
      <c r="B78" s="72"/>
      <c r="C78" s="72"/>
      <c r="D78" s="72"/>
    </row>
    <row r="79" spans="1:15" x14ac:dyDescent="0.25">
      <c r="B79" s="72"/>
      <c r="C79" s="72"/>
      <c r="D79" s="72"/>
    </row>
    <row r="80" spans="1:15" x14ac:dyDescent="0.25">
      <c r="B80" s="72"/>
      <c r="C80" s="72"/>
      <c r="D80" s="72"/>
    </row>
    <row r="83" spans="1:1" x14ac:dyDescent="0.25">
      <c r="A83" s="72"/>
    </row>
    <row r="84" spans="1:1" x14ac:dyDescent="0.25">
      <c r="A84" s="72"/>
    </row>
    <row r="85" spans="1:1" x14ac:dyDescent="0.25">
      <c r="A85" s="72"/>
    </row>
    <row r="86" spans="1:1" x14ac:dyDescent="0.25">
      <c r="A86" s="72"/>
    </row>
    <row r="87" spans="1:1" x14ac:dyDescent="0.25">
      <c r="A87" s="72"/>
    </row>
    <row r="88" spans="1:1" x14ac:dyDescent="0.25">
      <c r="A88" s="72"/>
    </row>
    <row r="89" spans="1:1" x14ac:dyDescent="0.25">
      <c r="A89" s="72"/>
    </row>
    <row r="90" spans="1:1" x14ac:dyDescent="0.25">
      <c r="A90" s="72"/>
    </row>
  </sheetData>
  <mergeCells count="33">
    <mergeCell ref="E29:J29"/>
    <mergeCell ref="E30:J30"/>
    <mergeCell ref="E32:J32"/>
    <mergeCell ref="E33:J33"/>
    <mergeCell ref="E34:J34"/>
    <mergeCell ref="E28:J28"/>
    <mergeCell ref="E4:J4"/>
    <mergeCell ref="E6:J6"/>
    <mergeCell ref="E7:J7"/>
    <mergeCell ref="E8:J8"/>
    <mergeCell ref="E9:J9"/>
    <mergeCell ref="E15:J15"/>
    <mergeCell ref="E10:J10"/>
    <mergeCell ref="E11:J11"/>
    <mergeCell ref="E12:J12"/>
    <mergeCell ref="E13:J13"/>
    <mergeCell ref="E14:J14"/>
    <mergeCell ref="E35:J35"/>
    <mergeCell ref="E16:J16"/>
    <mergeCell ref="E17:J17"/>
    <mergeCell ref="E18:J18"/>
    <mergeCell ref="I53:I54"/>
    <mergeCell ref="J53:J54"/>
    <mergeCell ref="E31:J31"/>
    <mergeCell ref="E19:J19"/>
    <mergeCell ref="E20:J20"/>
    <mergeCell ref="E21:J21"/>
    <mergeCell ref="E22:J22"/>
    <mergeCell ref="E23:J23"/>
    <mergeCell ref="E24:J24"/>
    <mergeCell ref="E25:J25"/>
    <mergeCell ref="E26:J26"/>
    <mergeCell ref="E27:J27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O87"/>
  <sheetViews>
    <sheetView topLeftCell="A65" workbookViewId="0">
      <selection activeCell="M80" sqref="M80"/>
    </sheetView>
  </sheetViews>
  <sheetFormatPr defaultRowHeight="15" x14ac:dyDescent="0.25"/>
  <cols>
    <col min="1" max="1" width="4.28515625" customWidth="1"/>
    <col min="2" max="2" width="8.7109375" customWidth="1"/>
    <col min="3" max="3" width="12.28515625" customWidth="1"/>
    <col min="4" max="4" width="17.85546875" customWidth="1"/>
    <col min="5" max="5" width="12.85546875" customWidth="1"/>
    <col min="6" max="6" width="7.5703125" customWidth="1"/>
    <col min="7" max="7" width="11" customWidth="1"/>
    <col min="8" max="8" width="5" customWidth="1"/>
    <col min="9" max="9" width="10.5703125" bestFit="1" customWidth="1"/>
    <col min="11" max="11" width="15.42578125" customWidth="1"/>
    <col min="13" max="13" width="16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7.75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74"/>
      <c r="B5" s="74"/>
      <c r="C5" s="74"/>
      <c r="D5" s="74"/>
      <c r="E5" s="74" t="s">
        <v>58</v>
      </c>
      <c r="F5" s="74"/>
      <c r="G5" s="74"/>
      <c r="H5" s="74"/>
      <c r="I5" s="74"/>
      <c r="J5" s="74"/>
      <c r="K5" s="140">
        <v>4045926.17</v>
      </c>
    </row>
    <row r="6" spans="1:11" x14ac:dyDescent="0.25">
      <c r="A6" s="88">
        <v>1</v>
      </c>
      <c r="B6" s="80">
        <v>45483</v>
      </c>
      <c r="C6" s="74" t="s">
        <v>25</v>
      </c>
      <c r="D6" s="74" t="s">
        <v>62</v>
      </c>
      <c r="E6" s="232"/>
      <c r="F6" s="232"/>
      <c r="G6" s="232"/>
      <c r="H6" s="232"/>
      <c r="I6" s="232"/>
      <c r="J6" s="232"/>
      <c r="K6" s="77">
        <v>4000000</v>
      </c>
    </row>
    <row r="7" spans="1:11" x14ac:dyDescent="0.25">
      <c r="A7" s="85">
        <v>2</v>
      </c>
      <c r="B7" s="86">
        <v>45490</v>
      </c>
      <c r="C7" s="74" t="s">
        <v>25</v>
      </c>
      <c r="D7" s="85" t="s">
        <v>63</v>
      </c>
      <c r="E7" s="85"/>
      <c r="F7" s="85"/>
      <c r="G7" s="85"/>
      <c r="H7" s="85"/>
      <c r="I7" s="85"/>
      <c r="J7" s="85"/>
      <c r="K7" s="77">
        <v>4000000</v>
      </c>
    </row>
    <row r="8" spans="1:11" x14ac:dyDescent="0.25">
      <c r="A8" s="141">
        <v>2</v>
      </c>
      <c r="B8" s="80">
        <v>45499</v>
      </c>
      <c r="C8" s="74" t="s">
        <v>25</v>
      </c>
      <c r="D8" s="138" t="s">
        <v>89</v>
      </c>
      <c r="E8" s="233"/>
      <c r="F8" s="234"/>
      <c r="G8" s="234"/>
      <c r="H8" s="234"/>
      <c r="I8" s="234"/>
      <c r="J8" s="235"/>
      <c r="K8" s="77">
        <v>4000000</v>
      </c>
    </row>
    <row r="9" spans="1:11" x14ac:dyDescent="0.25">
      <c r="A9" s="125">
        <v>3</v>
      </c>
      <c r="B9" s="80">
        <v>45516</v>
      </c>
      <c r="C9" s="74" t="s">
        <v>25</v>
      </c>
      <c r="D9" s="74" t="s">
        <v>124</v>
      </c>
      <c r="E9" s="74"/>
      <c r="F9" s="74"/>
      <c r="G9" s="74"/>
      <c r="H9" s="74"/>
      <c r="I9" s="74"/>
      <c r="J9" s="74"/>
      <c r="K9" s="140">
        <v>4000000</v>
      </c>
    </row>
    <row r="10" spans="1:11" x14ac:dyDescent="0.25">
      <c r="A10" s="125">
        <v>4</v>
      </c>
      <c r="B10" s="80">
        <v>45523</v>
      </c>
      <c r="C10" s="74" t="s">
        <v>25</v>
      </c>
      <c r="D10" s="76" t="s">
        <v>148</v>
      </c>
      <c r="E10" s="126"/>
      <c r="F10" s="127"/>
      <c r="G10" s="127"/>
      <c r="H10" s="127"/>
      <c r="I10" s="127"/>
      <c r="J10" s="128"/>
      <c r="K10" s="140">
        <v>4000000</v>
      </c>
    </row>
    <row r="11" spans="1:11" x14ac:dyDescent="0.25">
      <c r="A11" s="88">
        <v>5</v>
      </c>
      <c r="B11" s="80">
        <v>45533</v>
      </c>
      <c r="C11" s="74" t="s">
        <v>25</v>
      </c>
      <c r="D11" s="76" t="s">
        <v>153</v>
      </c>
      <c r="E11" s="126"/>
      <c r="F11" s="127"/>
      <c r="G11" s="127"/>
      <c r="H11" s="127"/>
      <c r="I11" s="127"/>
      <c r="J11" s="128"/>
      <c r="K11" s="140">
        <v>4000000</v>
      </c>
    </row>
    <row r="12" spans="1:11" x14ac:dyDescent="0.25">
      <c r="A12" s="125">
        <v>6</v>
      </c>
      <c r="B12" s="80">
        <v>45554</v>
      </c>
      <c r="C12" s="74" t="s">
        <v>25</v>
      </c>
      <c r="D12" s="76" t="s">
        <v>198</v>
      </c>
      <c r="E12" s="126"/>
      <c r="F12" s="127"/>
      <c r="G12" s="127"/>
      <c r="H12" s="127"/>
      <c r="I12" s="127"/>
      <c r="J12" s="128"/>
      <c r="K12" s="140">
        <v>4000000</v>
      </c>
    </row>
    <row r="13" spans="1:11" x14ac:dyDescent="0.25">
      <c r="A13" s="125">
        <v>7</v>
      </c>
      <c r="B13" s="80">
        <v>45561</v>
      </c>
      <c r="C13" s="74" t="s">
        <v>25</v>
      </c>
      <c r="D13" s="76" t="s">
        <v>209</v>
      </c>
      <c r="E13" s="126"/>
      <c r="F13" s="127"/>
      <c r="G13" s="127"/>
      <c r="H13" s="127"/>
      <c r="I13" s="127"/>
      <c r="J13" s="128"/>
      <c r="K13" s="140">
        <v>2000000</v>
      </c>
    </row>
    <row r="14" spans="1:11" x14ac:dyDescent="0.25">
      <c r="A14" s="88">
        <v>8</v>
      </c>
      <c r="B14" s="80">
        <v>45567</v>
      </c>
      <c r="C14" s="74" t="s">
        <v>25</v>
      </c>
      <c r="D14" s="76" t="s">
        <v>212</v>
      </c>
      <c r="E14" s="126"/>
      <c r="F14" s="127"/>
      <c r="G14" s="127"/>
      <c r="H14" s="127"/>
      <c r="I14" s="127"/>
      <c r="J14" s="128"/>
      <c r="K14" s="140">
        <v>2100000</v>
      </c>
    </row>
    <row r="15" spans="1:11" x14ac:dyDescent="0.25">
      <c r="A15" s="125">
        <v>9</v>
      </c>
      <c r="B15" s="80">
        <v>45582</v>
      </c>
      <c r="C15" s="74" t="s">
        <v>25</v>
      </c>
      <c r="D15" s="76" t="s">
        <v>236</v>
      </c>
      <c r="E15" s="126"/>
      <c r="F15" s="127"/>
      <c r="G15" s="127"/>
      <c r="H15" s="127"/>
      <c r="I15" s="127"/>
      <c r="J15" s="128"/>
      <c r="K15" s="140">
        <v>4300000</v>
      </c>
    </row>
    <row r="16" spans="1:11" x14ac:dyDescent="0.25">
      <c r="A16" s="125">
        <v>10</v>
      </c>
      <c r="B16" s="80">
        <v>45586</v>
      </c>
      <c r="C16" s="74" t="s">
        <v>25</v>
      </c>
      <c r="D16" s="76" t="s">
        <v>237</v>
      </c>
      <c r="E16" s="126"/>
      <c r="F16" s="127"/>
      <c r="G16" s="127"/>
      <c r="H16" s="127"/>
      <c r="I16" s="127"/>
      <c r="J16" s="128"/>
      <c r="K16" s="140">
        <v>4300000</v>
      </c>
    </row>
    <row r="17" spans="1:11" x14ac:dyDescent="0.25">
      <c r="A17" s="84">
        <v>11</v>
      </c>
      <c r="B17" s="192">
        <v>45604</v>
      </c>
      <c r="C17" s="74" t="s">
        <v>25</v>
      </c>
      <c r="D17" s="76" t="s">
        <v>260</v>
      </c>
      <c r="E17" s="126"/>
      <c r="F17" s="127"/>
      <c r="G17" s="127"/>
      <c r="H17" s="127"/>
      <c r="I17" s="127"/>
      <c r="J17" s="128"/>
      <c r="K17" s="140">
        <v>4300000</v>
      </c>
    </row>
    <row r="18" spans="1:11" x14ac:dyDescent="0.25">
      <c r="A18" s="84">
        <v>12</v>
      </c>
      <c r="B18" s="80">
        <v>45622</v>
      </c>
      <c r="C18" s="74" t="s">
        <v>25</v>
      </c>
      <c r="D18" s="76" t="s">
        <v>288</v>
      </c>
      <c r="E18" s="126"/>
      <c r="F18" s="127"/>
      <c r="G18" s="127"/>
      <c r="H18" s="127"/>
      <c r="I18" s="127"/>
      <c r="J18" s="128"/>
      <c r="K18" s="140">
        <v>4300000</v>
      </c>
    </row>
    <row r="19" spans="1:11" x14ac:dyDescent="0.25">
      <c r="A19" s="84">
        <v>13</v>
      </c>
      <c r="B19" s="80">
        <v>45640</v>
      </c>
      <c r="C19" s="74" t="s">
        <v>25</v>
      </c>
      <c r="D19" s="76" t="s">
        <v>318</v>
      </c>
      <c r="E19" s="126"/>
      <c r="F19" s="127"/>
      <c r="G19" s="127"/>
      <c r="H19" s="127"/>
      <c r="I19" s="127"/>
      <c r="J19" s="128"/>
      <c r="K19" s="140">
        <v>4300000</v>
      </c>
    </row>
    <row r="20" spans="1:11" x14ac:dyDescent="0.25">
      <c r="A20" s="84">
        <v>14</v>
      </c>
      <c r="B20" s="80"/>
      <c r="C20" s="77"/>
      <c r="D20" s="76"/>
      <c r="E20" s="126"/>
      <c r="F20" s="127"/>
      <c r="G20" s="127"/>
      <c r="H20" s="127"/>
      <c r="I20" s="127"/>
      <c r="J20" s="128"/>
      <c r="K20" s="140">
        <v>3000000</v>
      </c>
    </row>
    <row r="21" spans="1:11" x14ac:dyDescent="0.25">
      <c r="A21" s="84">
        <v>15</v>
      </c>
      <c r="B21" s="80"/>
      <c r="C21" s="77"/>
      <c r="D21" s="76"/>
      <c r="E21" s="126"/>
      <c r="F21" s="127"/>
      <c r="G21" s="127"/>
      <c r="H21" s="127"/>
      <c r="I21" s="127"/>
      <c r="J21" s="128"/>
      <c r="K21" s="140"/>
    </row>
    <row r="22" spans="1:11" x14ac:dyDescent="0.25">
      <c r="A22" s="84">
        <v>16</v>
      </c>
      <c r="B22" s="80"/>
      <c r="C22" s="77"/>
      <c r="D22" s="76"/>
      <c r="E22" s="126"/>
      <c r="F22" s="127"/>
      <c r="G22" s="127"/>
      <c r="H22" s="127"/>
      <c r="I22" s="127"/>
      <c r="J22" s="128"/>
      <c r="K22" s="140"/>
    </row>
    <row r="23" spans="1:11" x14ac:dyDescent="0.25">
      <c r="A23" s="84">
        <v>17</v>
      </c>
      <c r="B23" s="80"/>
      <c r="C23" s="77"/>
      <c r="D23" s="76"/>
      <c r="E23" s="126"/>
      <c r="F23" s="127"/>
      <c r="G23" s="127"/>
      <c r="H23" s="127"/>
      <c r="I23" s="127"/>
      <c r="J23" s="128"/>
      <c r="K23" s="140"/>
    </row>
    <row r="24" spans="1:11" x14ac:dyDescent="0.25">
      <c r="A24" s="84">
        <v>18</v>
      </c>
      <c r="B24" s="80"/>
      <c r="C24" s="77"/>
      <c r="D24" s="76"/>
      <c r="E24" s="126"/>
      <c r="F24" s="127"/>
      <c r="G24" s="127"/>
      <c r="H24" s="127"/>
      <c r="I24" s="127"/>
      <c r="J24" s="128"/>
      <c r="K24" s="140"/>
    </row>
    <row r="25" spans="1:11" x14ac:dyDescent="0.25">
      <c r="A25" s="84">
        <v>19</v>
      </c>
      <c r="B25" s="80"/>
      <c r="C25" s="77"/>
      <c r="D25" s="76"/>
      <c r="E25" s="126"/>
      <c r="F25" s="127"/>
      <c r="G25" s="127"/>
      <c r="H25" s="127"/>
      <c r="I25" s="127"/>
      <c r="J25" s="128"/>
      <c r="K25" s="140"/>
    </row>
    <row r="26" spans="1:11" x14ac:dyDescent="0.25">
      <c r="A26" s="84">
        <v>20</v>
      </c>
      <c r="B26" s="80"/>
      <c r="C26" s="77"/>
      <c r="D26" s="76"/>
      <c r="E26" s="126"/>
      <c r="F26" s="127"/>
      <c r="G26" s="127"/>
      <c r="H26" s="127"/>
      <c r="I26" s="127"/>
      <c r="J26" s="128"/>
      <c r="K26" s="140"/>
    </row>
    <row r="27" spans="1:11" x14ac:dyDescent="0.25">
      <c r="A27" s="84">
        <v>21</v>
      </c>
      <c r="B27" s="80"/>
      <c r="C27" s="77"/>
      <c r="D27" s="76"/>
      <c r="E27" s="126"/>
      <c r="F27" s="127"/>
      <c r="G27" s="127"/>
      <c r="H27" s="127"/>
      <c r="I27" s="127"/>
      <c r="J27" s="128"/>
      <c r="K27" s="140"/>
    </row>
    <row r="28" spans="1:11" x14ac:dyDescent="0.25">
      <c r="A28" s="84">
        <v>22</v>
      </c>
      <c r="B28" s="80"/>
      <c r="C28" s="77"/>
      <c r="D28" s="76"/>
      <c r="E28" s="126"/>
      <c r="F28" s="127"/>
      <c r="G28" s="127"/>
      <c r="H28" s="127"/>
      <c r="I28" s="127"/>
      <c r="J28" s="128"/>
      <c r="K28" s="140"/>
    </row>
    <row r="29" spans="1:11" x14ac:dyDescent="0.25">
      <c r="A29" s="84">
        <v>23</v>
      </c>
      <c r="B29" s="80"/>
      <c r="C29" s="129"/>
      <c r="D29" s="76"/>
      <c r="E29" s="126"/>
      <c r="F29" s="127"/>
      <c r="G29" s="127"/>
      <c r="H29" s="127"/>
      <c r="I29" s="127"/>
      <c r="J29" s="128"/>
      <c r="K29" s="140"/>
    </row>
    <row r="30" spans="1:11" x14ac:dyDescent="0.25">
      <c r="A30" s="84">
        <v>24</v>
      </c>
      <c r="B30" s="80"/>
      <c r="C30" s="77"/>
      <c r="D30" s="76"/>
      <c r="E30" s="126"/>
      <c r="F30" s="127"/>
      <c r="G30" s="127"/>
      <c r="H30" s="127"/>
      <c r="I30" s="127"/>
      <c r="J30" s="128"/>
      <c r="K30" s="140"/>
    </row>
    <row r="31" spans="1:11" x14ac:dyDescent="0.25">
      <c r="A31" s="84">
        <v>25</v>
      </c>
      <c r="B31" s="80"/>
      <c r="C31" s="77"/>
      <c r="D31" s="76"/>
      <c r="E31" s="126"/>
      <c r="F31" s="127"/>
      <c r="G31" s="127"/>
      <c r="H31" s="127"/>
      <c r="I31" s="127"/>
      <c r="J31" s="128"/>
      <c r="K31" s="140"/>
    </row>
    <row r="32" spans="1:11" x14ac:dyDescent="0.25">
      <c r="A32" s="84">
        <v>26</v>
      </c>
      <c r="B32" s="80"/>
      <c r="C32" s="77"/>
      <c r="D32" s="76"/>
      <c r="E32" s="126"/>
      <c r="F32" s="127"/>
      <c r="G32" s="127"/>
      <c r="H32" s="127"/>
      <c r="I32" s="127"/>
      <c r="J32" s="128"/>
      <c r="K32" s="140"/>
    </row>
    <row r="33" spans="1:11" x14ac:dyDescent="0.25">
      <c r="A33" s="84">
        <v>27</v>
      </c>
      <c r="B33" s="80"/>
      <c r="C33" s="77"/>
      <c r="D33" s="76"/>
      <c r="E33" s="126"/>
      <c r="F33" s="127"/>
      <c r="G33" s="127"/>
      <c r="H33" s="127"/>
      <c r="I33" s="127"/>
      <c r="J33" s="128"/>
      <c r="K33" s="140"/>
    </row>
    <row r="34" spans="1:11" x14ac:dyDescent="0.25">
      <c r="A34" s="84">
        <v>28</v>
      </c>
      <c r="B34" s="80"/>
      <c r="C34" s="77"/>
      <c r="D34" s="76"/>
      <c r="E34" s="126"/>
      <c r="F34" s="127"/>
      <c r="G34" s="127"/>
      <c r="H34" s="127"/>
      <c r="I34" s="127"/>
      <c r="J34" s="128"/>
      <c r="K34" s="140"/>
    </row>
    <row r="35" spans="1:11" x14ac:dyDescent="0.25">
      <c r="A35" s="84">
        <v>29</v>
      </c>
      <c r="B35" s="80"/>
      <c r="C35" s="77"/>
      <c r="D35" s="76"/>
      <c r="E35" s="126"/>
      <c r="F35" s="127"/>
      <c r="G35" s="127"/>
      <c r="H35" s="127"/>
      <c r="I35" s="127"/>
      <c r="J35" s="128"/>
      <c r="K35" s="140"/>
    </row>
    <row r="36" spans="1:11" x14ac:dyDescent="0.25">
      <c r="A36" s="84">
        <v>30</v>
      </c>
      <c r="B36" s="80"/>
      <c r="C36" s="77"/>
      <c r="D36" s="76"/>
      <c r="E36" s="126"/>
      <c r="F36" s="127"/>
      <c r="G36" s="127"/>
      <c r="H36" s="127"/>
      <c r="I36" s="127"/>
      <c r="J36" s="128"/>
      <c r="K36" s="140"/>
    </row>
    <row r="37" spans="1:11" x14ac:dyDescent="0.25">
      <c r="A37" s="84">
        <v>31</v>
      </c>
      <c r="B37" s="80"/>
      <c r="C37" s="77"/>
      <c r="D37" s="76"/>
      <c r="E37" s="126"/>
      <c r="F37" s="127"/>
      <c r="G37" s="127"/>
      <c r="H37" s="127"/>
      <c r="I37" s="127"/>
      <c r="J37" s="128"/>
      <c r="K37" s="140"/>
    </row>
    <row r="38" spans="1:11" x14ac:dyDescent="0.25">
      <c r="A38" s="84">
        <v>32</v>
      </c>
      <c r="B38" s="80"/>
      <c r="C38" s="77"/>
      <c r="D38" s="76"/>
      <c r="E38" s="126"/>
      <c r="F38" s="127"/>
      <c r="G38" s="127"/>
      <c r="H38" s="127"/>
      <c r="I38" s="127"/>
      <c r="J38" s="128"/>
      <c r="K38" s="140"/>
    </row>
    <row r="39" spans="1:11" x14ac:dyDescent="0.25">
      <c r="A39" s="84">
        <v>33</v>
      </c>
      <c r="B39" s="80"/>
      <c r="C39" s="77"/>
      <c r="D39" s="76"/>
      <c r="E39" s="126"/>
      <c r="F39" s="127"/>
      <c r="G39" s="127"/>
      <c r="H39" s="127"/>
      <c r="I39" s="127"/>
      <c r="J39" s="128"/>
      <c r="K39" s="140"/>
    </row>
    <row r="40" spans="1:11" x14ac:dyDescent="0.25">
      <c r="A40" s="84">
        <v>34</v>
      </c>
      <c r="B40" s="80"/>
      <c r="C40" s="77"/>
      <c r="D40" s="76"/>
      <c r="E40" s="126"/>
      <c r="F40" s="127"/>
      <c r="G40" s="127"/>
      <c r="H40" s="127"/>
      <c r="I40" s="127"/>
      <c r="J40" s="128"/>
      <c r="K40" s="140"/>
    </row>
    <row r="41" spans="1:11" x14ac:dyDescent="0.25">
      <c r="A41" s="84">
        <v>35</v>
      </c>
      <c r="B41" s="80"/>
      <c r="C41" s="77"/>
      <c r="D41" s="76"/>
      <c r="E41" s="126"/>
      <c r="F41" s="127"/>
      <c r="G41" s="127"/>
      <c r="H41" s="127"/>
      <c r="I41" s="127"/>
      <c r="J41" s="128"/>
      <c r="K41" s="140"/>
    </row>
    <row r="42" spans="1:11" x14ac:dyDescent="0.25">
      <c r="A42" s="84">
        <v>36</v>
      </c>
      <c r="B42" s="80"/>
      <c r="C42" s="77"/>
      <c r="D42" s="76"/>
      <c r="E42" s="126"/>
      <c r="F42" s="127"/>
      <c r="G42" s="127"/>
      <c r="H42" s="127"/>
      <c r="I42" s="127"/>
      <c r="J42" s="128"/>
      <c r="K42" s="140"/>
    </row>
    <row r="43" spans="1:11" x14ac:dyDescent="0.25">
      <c r="A43" s="84">
        <v>37</v>
      </c>
      <c r="B43" s="80"/>
      <c r="C43" s="77"/>
      <c r="D43" s="76"/>
      <c r="E43" s="126"/>
      <c r="F43" s="127"/>
      <c r="G43" s="127"/>
      <c r="H43" s="127"/>
      <c r="I43" s="127"/>
      <c r="J43" s="128"/>
      <c r="K43" s="140"/>
    </row>
    <row r="44" spans="1:11" x14ac:dyDescent="0.25">
      <c r="A44" s="84">
        <v>38</v>
      </c>
      <c r="B44" s="80"/>
      <c r="C44" s="77"/>
      <c r="D44" s="76"/>
      <c r="E44" s="126"/>
      <c r="F44" s="127"/>
      <c r="G44" s="127"/>
      <c r="H44" s="127"/>
      <c r="I44" s="127"/>
      <c r="J44" s="128"/>
      <c r="K44" s="140"/>
    </row>
    <row r="45" spans="1:11" x14ac:dyDescent="0.25">
      <c r="A45" s="84">
        <v>39</v>
      </c>
      <c r="B45" s="80"/>
      <c r="C45" s="77"/>
      <c r="D45" s="76"/>
      <c r="E45" s="126"/>
      <c r="F45" s="127"/>
      <c r="G45" s="127"/>
      <c r="H45" s="127"/>
      <c r="I45" s="127"/>
      <c r="J45" s="128"/>
      <c r="K45" s="140"/>
    </row>
    <row r="46" spans="1:11" x14ac:dyDescent="0.25">
      <c r="A46" s="84">
        <v>40</v>
      </c>
      <c r="B46" s="80"/>
      <c r="C46" s="77"/>
      <c r="D46" s="76"/>
      <c r="E46" s="126"/>
      <c r="F46" s="127"/>
      <c r="G46" s="127"/>
      <c r="H46" s="127"/>
      <c r="I46" s="127"/>
      <c r="J46" s="128"/>
      <c r="K46" s="140"/>
    </row>
    <row r="47" spans="1:11" x14ac:dyDescent="0.25">
      <c r="A47" s="84">
        <v>41</v>
      </c>
      <c r="B47" s="93"/>
      <c r="C47" s="90"/>
      <c r="D47" s="76"/>
      <c r="E47" s="236"/>
      <c r="F47" s="237"/>
      <c r="G47" s="237"/>
      <c r="H47" s="237"/>
      <c r="I47" s="237"/>
      <c r="J47" s="238"/>
      <c r="K47" s="140"/>
    </row>
    <row r="48" spans="1:11" x14ac:dyDescent="0.25">
      <c r="A48" s="84">
        <v>42</v>
      </c>
      <c r="B48" s="94"/>
      <c r="C48" s="85"/>
      <c r="D48" s="85"/>
      <c r="E48" s="74"/>
      <c r="F48" s="74"/>
      <c r="G48" s="74"/>
      <c r="H48" s="74"/>
      <c r="I48" s="74"/>
      <c r="J48" s="74"/>
      <c r="K48" s="140"/>
    </row>
    <row r="49" spans="1:15" x14ac:dyDescent="0.25">
      <c r="A49" s="84">
        <v>43</v>
      </c>
      <c r="B49" s="93"/>
      <c r="C49" s="90"/>
      <c r="D49" s="76"/>
      <c r="E49" s="76"/>
      <c r="F49" s="76"/>
      <c r="G49" s="76"/>
      <c r="H49" s="76"/>
      <c r="I49" s="76"/>
      <c r="J49" s="76"/>
      <c r="K49" s="140"/>
    </row>
    <row r="50" spans="1:15" ht="15.75" thickBot="1" x14ac:dyDescent="0.3">
      <c r="A50" s="84">
        <v>44</v>
      </c>
      <c r="B50" s="93"/>
      <c r="C50" s="90"/>
      <c r="D50" s="76"/>
      <c r="E50" s="76"/>
      <c r="F50" s="76"/>
      <c r="G50" s="76"/>
      <c r="H50" s="76"/>
      <c r="I50" s="76"/>
      <c r="J50" s="76"/>
      <c r="K50" s="74"/>
    </row>
    <row r="51" spans="1:15" ht="16.5" thickTop="1" thickBot="1" x14ac:dyDescent="0.3">
      <c r="A51" s="88"/>
      <c r="B51" s="93"/>
      <c r="C51" s="90"/>
      <c r="D51" s="76"/>
      <c r="E51" s="239" t="s">
        <v>26</v>
      </c>
      <c r="F51" s="239"/>
      <c r="G51" s="239"/>
      <c r="H51" s="239"/>
      <c r="I51" s="239"/>
      <c r="J51" s="239"/>
      <c r="K51" s="169">
        <f>SUM(K5:K49)</f>
        <v>60645926.170000002</v>
      </c>
      <c r="O51" s="165"/>
    </row>
    <row r="52" spans="1:15" ht="15.75" thickTop="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5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5" x14ac:dyDescent="0.25">
      <c r="A54" s="95"/>
      <c r="B54" s="96"/>
      <c r="C54" s="97"/>
      <c r="D54" s="98"/>
      <c r="E54" s="98"/>
      <c r="F54" s="98"/>
      <c r="G54" s="98"/>
      <c r="H54" s="98"/>
      <c r="I54" s="98"/>
      <c r="J54" s="98"/>
      <c r="K54" s="99"/>
    </row>
    <row r="55" spans="1:15" x14ac:dyDescent="0.25">
      <c r="A55" s="95"/>
      <c r="B55" s="96"/>
      <c r="C55" s="97"/>
      <c r="D55" s="98"/>
      <c r="E55" s="100" t="s">
        <v>27</v>
      </c>
      <c r="F55" s="101"/>
      <c r="G55" s="101"/>
      <c r="H55" s="101"/>
      <c r="I55" s="98"/>
      <c r="J55" s="98"/>
      <c r="K55" s="99"/>
      <c r="M55" s="142">
        <v>11545926.17</v>
      </c>
    </row>
    <row r="56" spans="1:15" x14ac:dyDescent="0.25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5" ht="15.75" thickBot="1" x14ac:dyDescent="0.3">
      <c r="A57" s="95"/>
      <c r="B57" s="96"/>
      <c r="C57" s="97"/>
      <c r="D57" s="98"/>
      <c r="E57" s="98"/>
      <c r="F57" s="98"/>
      <c r="G57" s="98"/>
      <c r="H57" s="98"/>
      <c r="I57" s="98"/>
      <c r="J57" s="98"/>
      <c r="K57" s="99"/>
    </row>
    <row r="58" spans="1:15" ht="63.75" x14ac:dyDescent="0.25">
      <c r="A58" s="102" t="s">
        <v>1</v>
      </c>
      <c r="B58" s="37" t="s">
        <v>10</v>
      </c>
      <c r="C58" s="103" t="s">
        <v>11</v>
      </c>
      <c r="D58" s="103"/>
      <c r="E58" s="103" t="s">
        <v>28</v>
      </c>
      <c r="F58" s="104" t="s">
        <v>13</v>
      </c>
      <c r="G58" s="104" t="s">
        <v>14</v>
      </c>
      <c r="H58" s="103" t="s">
        <v>15</v>
      </c>
      <c r="I58" s="227" t="s">
        <v>16</v>
      </c>
      <c r="J58" s="229" t="s">
        <v>29</v>
      </c>
      <c r="K58" s="41" t="s">
        <v>18</v>
      </c>
    </row>
    <row r="59" spans="1:15" x14ac:dyDescent="0.25">
      <c r="A59" s="105"/>
      <c r="B59" s="106"/>
      <c r="C59" s="107"/>
      <c r="D59" s="108" t="s">
        <v>19</v>
      </c>
      <c r="E59" s="107"/>
      <c r="F59" s="108"/>
      <c r="G59" s="108"/>
      <c r="H59" s="107"/>
      <c r="I59" s="228"/>
      <c r="J59" s="230"/>
      <c r="K59" s="109"/>
    </row>
    <row r="60" spans="1:15" x14ac:dyDescent="0.25">
      <c r="A60" s="110">
        <v>1</v>
      </c>
      <c r="B60" s="83">
        <v>793663</v>
      </c>
      <c r="C60" s="80">
        <v>45493</v>
      </c>
      <c r="D60" s="80" t="s">
        <v>75</v>
      </c>
      <c r="E60" s="74" t="s">
        <v>76</v>
      </c>
      <c r="F60" s="74" t="s">
        <v>30</v>
      </c>
      <c r="G60" s="74" t="s">
        <v>77</v>
      </c>
      <c r="H60" s="74" t="s">
        <v>32</v>
      </c>
      <c r="I60" s="77">
        <v>50550</v>
      </c>
      <c r="J60" s="74">
        <v>85.879199999999997</v>
      </c>
      <c r="K60" s="111">
        <f>I60*J60</f>
        <v>4341193.5599999996</v>
      </c>
    </row>
    <row r="61" spans="1:15" x14ac:dyDescent="0.25">
      <c r="A61" s="110">
        <v>2</v>
      </c>
      <c r="B61" s="74">
        <v>796914</v>
      </c>
      <c r="C61" s="75">
        <v>45504</v>
      </c>
      <c r="D61" s="80" t="s">
        <v>101</v>
      </c>
      <c r="E61" t="s">
        <v>102</v>
      </c>
      <c r="F61" s="74" t="s">
        <v>30</v>
      </c>
      <c r="G61" s="74" t="s">
        <v>77</v>
      </c>
      <c r="H61" s="81" t="s">
        <v>33</v>
      </c>
      <c r="I61" s="131">
        <v>45726</v>
      </c>
      <c r="J61">
        <v>84.739199999999997</v>
      </c>
      <c r="K61" s="111">
        <f t="shared" ref="K61:K77" si="0">I61*J61</f>
        <v>3874784.6591999996</v>
      </c>
    </row>
    <row r="62" spans="1:15" x14ac:dyDescent="0.25">
      <c r="A62" s="110">
        <v>3</v>
      </c>
      <c r="B62" s="74">
        <v>803064</v>
      </c>
      <c r="C62" s="157">
        <v>45519</v>
      </c>
      <c r="D62" s="80" t="s">
        <v>73</v>
      </c>
      <c r="E62" s="74" t="s">
        <v>55</v>
      </c>
      <c r="F62" s="74" t="s">
        <v>30</v>
      </c>
      <c r="G62" s="74" t="s">
        <v>77</v>
      </c>
      <c r="H62" s="74" t="s">
        <v>32</v>
      </c>
      <c r="I62" s="77">
        <v>46860</v>
      </c>
      <c r="J62" s="74">
        <v>85.879199999999997</v>
      </c>
      <c r="K62" s="111">
        <f t="shared" si="0"/>
        <v>4024299.3119999999</v>
      </c>
    </row>
    <row r="63" spans="1:15" x14ac:dyDescent="0.25">
      <c r="A63" s="110">
        <v>4</v>
      </c>
      <c r="B63" s="83">
        <v>805662</v>
      </c>
      <c r="C63" s="80">
        <v>45525</v>
      </c>
      <c r="D63" s="80" t="s">
        <v>146</v>
      </c>
      <c r="E63" s="74" t="s">
        <v>147</v>
      </c>
      <c r="F63" s="74" t="s">
        <v>30</v>
      </c>
      <c r="G63" s="74" t="s">
        <v>77</v>
      </c>
      <c r="H63" s="74" t="s">
        <v>32</v>
      </c>
      <c r="I63" s="77">
        <v>45948</v>
      </c>
      <c r="J63" s="74">
        <v>85.879199999999997</v>
      </c>
      <c r="K63" s="111">
        <f t="shared" si="0"/>
        <v>3945977.4816000001</v>
      </c>
    </row>
    <row r="64" spans="1:15" x14ac:dyDescent="0.25">
      <c r="A64" s="110">
        <v>5</v>
      </c>
      <c r="B64" s="83">
        <v>811070</v>
      </c>
      <c r="C64" s="80">
        <v>45543</v>
      </c>
      <c r="D64" s="80" t="s">
        <v>188</v>
      </c>
      <c r="E64" s="74" t="s">
        <v>189</v>
      </c>
      <c r="F64" s="74" t="s">
        <v>30</v>
      </c>
      <c r="G64" s="74" t="s">
        <v>77</v>
      </c>
      <c r="H64" s="81" t="s">
        <v>33</v>
      </c>
      <c r="I64" s="77">
        <v>45431</v>
      </c>
      <c r="J64" s="74">
        <v>84.739199999999997</v>
      </c>
      <c r="K64" s="111">
        <f t="shared" si="0"/>
        <v>3849786.5951999999</v>
      </c>
    </row>
    <row r="65" spans="1:11" x14ac:dyDescent="0.25">
      <c r="A65" s="110">
        <v>6</v>
      </c>
      <c r="B65" s="83">
        <v>818476</v>
      </c>
      <c r="C65" s="80">
        <v>45562</v>
      </c>
      <c r="D65" s="80" t="s">
        <v>114</v>
      </c>
      <c r="E65" s="74" t="s">
        <v>52</v>
      </c>
      <c r="F65" s="74" t="s">
        <v>30</v>
      </c>
      <c r="G65" s="74" t="s">
        <v>77</v>
      </c>
      <c r="H65" s="74" t="s">
        <v>32</v>
      </c>
      <c r="I65" s="77">
        <v>46063</v>
      </c>
      <c r="J65" s="74">
        <v>85.879199999999997</v>
      </c>
      <c r="K65" s="111">
        <f t="shared" si="0"/>
        <v>3955853.5896000001</v>
      </c>
    </row>
    <row r="66" spans="1:11" x14ac:dyDescent="0.25">
      <c r="A66" s="167">
        <v>7</v>
      </c>
      <c r="B66" s="83">
        <v>821257</v>
      </c>
      <c r="C66" s="80">
        <v>45574</v>
      </c>
      <c r="D66" s="80" t="s">
        <v>164</v>
      </c>
      <c r="E66" s="74" t="s">
        <v>102</v>
      </c>
      <c r="F66" s="74" t="s">
        <v>30</v>
      </c>
      <c r="G66" s="74" t="s">
        <v>77</v>
      </c>
      <c r="H66" s="81" t="s">
        <v>33</v>
      </c>
      <c r="I66" s="77">
        <v>45867</v>
      </c>
      <c r="J66" s="74">
        <v>93.359200000000001</v>
      </c>
      <c r="K66" s="111">
        <f t="shared" si="0"/>
        <v>4282106.4264000002</v>
      </c>
    </row>
    <row r="67" spans="1:11" x14ac:dyDescent="0.25">
      <c r="A67" s="167">
        <v>8</v>
      </c>
      <c r="B67" s="83">
        <v>826247</v>
      </c>
      <c r="C67" s="80">
        <v>45584</v>
      </c>
      <c r="D67" s="49" t="s">
        <v>234</v>
      </c>
      <c r="E67" s="49" t="s">
        <v>235</v>
      </c>
      <c r="F67" s="74" t="s">
        <v>30</v>
      </c>
      <c r="G67" s="74" t="s">
        <v>77</v>
      </c>
      <c r="H67" s="74" t="s">
        <v>32</v>
      </c>
      <c r="I67" s="77">
        <v>46155</v>
      </c>
      <c r="J67" s="74">
        <v>92.499200000000002</v>
      </c>
      <c r="K67" s="111">
        <f t="shared" si="0"/>
        <v>4269300.5760000004</v>
      </c>
    </row>
    <row r="68" spans="1:11" x14ac:dyDescent="0.25">
      <c r="A68" s="167">
        <v>9</v>
      </c>
      <c r="B68" s="85">
        <v>827682</v>
      </c>
      <c r="C68" s="86">
        <v>45592</v>
      </c>
      <c r="D68" s="80" t="s">
        <v>146</v>
      </c>
      <c r="E68" s="74" t="s">
        <v>147</v>
      </c>
      <c r="F68" s="74" t="s">
        <v>30</v>
      </c>
      <c r="G68" s="74" t="s">
        <v>77</v>
      </c>
      <c r="H68" s="81" t="s">
        <v>33</v>
      </c>
      <c r="I68" s="87">
        <v>45862</v>
      </c>
      <c r="J68" s="85">
        <v>93.359200000000001</v>
      </c>
      <c r="K68" s="111">
        <f t="shared" si="0"/>
        <v>4281639.6304000001</v>
      </c>
    </row>
    <row r="69" spans="1:11" x14ac:dyDescent="0.25">
      <c r="A69" s="167">
        <v>10</v>
      </c>
      <c r="B69" s="207">
        <v>837311</v>
      </c>
      <c r="C69" s="50">
        <v>45615</v>
      </c>
      <c r="D69" s="49" t="s">
        <v>125</v>
      </c>
      <c r="E69" s="49" t="s">
        <v>67</v>
      </c>
      <c r="F69" s="74" t="s">
        <v>30</v>
      </c>
      <c r="G69" s="56" t="s">
        <v>77</v>
      </c>
      <c r="H69" s="53" t="s">
        <v>32</v>
      </c>
      <c r="I69" s="158">
        <v>46127</v>
      </c>
      <c r="J69" s="74">
        <v>92.499200000000002</v>
      </c>
      <c r="K69" s="111">
        <f t="shared" si="0"/>
        <v>4266710.5984000005</v>
      </c>
    </row>
    <row r="70" spans="1:11" x14ac:dyDescent="0.25">
      <c r="A70" s="167">
        <v>11</v>
      </c>
      <c r="B70" s="207">
        <v>841385</v>
      </c>
      <c r="C70" s="50">
        <v>45631</v>
      </c>
      <c r="D70" s="49" t="s">
        <v>160</v>
      </c>
      <c r="E70" s="49" t="s">
        <v>102</v>
      </c>
      <c r="F70" s="74" t="s">
        <v>30</v>
      </c>
      <c r="G70" s="56" t="s">
        <v>77</v>
      </c>
      <c r="H70" s="53" t="s">
        <v>33</v>
      </c>
      <c r="I70" s="158">
        <v>46204</v>
      </c>
      <c r="J70" s="85">
        <v>93.359200000000001</v>
      </c>
      <c r="K70" s="111">
        <f t="shared" si="0"/>
        <v>4313568.4768000003</v>
      </c>
    </row>
    <row r="71" spans="1:11" x14ac:dyDescent="0.25">
      <c r="A71" s="167">
        <v>12</v>
      </c>
      <c r="B71" s="207">
        <v>848146</v>
      </c>
      <c r="C71" s="50">
        <v>45642</v>
      </c>
      <c r="D71" s="49" t="s">
        <v>125</v>
      </c>
      <c r="E71" s="49" t="s">
        <v>67</v>
      </c>
      <c r="F71" s="74" t="s">
        <v>30</v>
      </c>
      <c r="G71" s="56" t="s">
        <v>77</v>
      </c>
      <c r="H71" s="53" t="s">
        <v>32</v>
      </c>
      <c r="I71" s="158">
        <v>46300</v>
      </c>
      <c r="J71" s="74">
        <v>92.499200000000002</v>
      </c>
      <c r="K71" s="111">
        <f t="shared" si="0"/>
        <v>4282712.96</v>
      </c>
    </row>
    <row r="72" spans="1:11" x14ac:dyDescent="0.25">
      <c r="A72" s="167">
        <v>13</v>
      </c>
      <c r="B72" s="74">
        <v>852828</v>
      </c>
      <c r="C72" s="80">
        <v>45654</v>
      </c>
      <c r="D72" s="49" t="s">
        <v>150</v>
      </c>
      <c r="E72" s="49" t="s">
        <v>151</v>
      </c>
      <c r="F72" s="74" t="s">
        <v>30</v>
      </c>
      <c r="G72" s="56" t="s">
        <v>77</v>
      </c>
      <c r="H72" s="53" t="s">
        <v>32</v>
      </c>
      <c r="I72" s="158">
        <v>47642</v>
      </c>
      <c r="J72" s="74">
        <v>92.499200000000002</v>
      </c>
      <c r="K72" s="111">
        <f t="shared" si="0"/>
        <v>4406846.8864000002</v>
      </c>
    </row>
    <row r="73" spans="1:11" x14ac:dyDescent="0.25">
      <c r="A73" s="167">
        <v>14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167">
        <v>23</v>
      </c>
      <c r="B74" s="74"/>
      <c r="C74" s="80"/>
      <c r="D74" s="80"/>
      <c r="E74" s="74"/>
      <c r="F74" s="74" t="s">
        <v>30</v>
      </c>
      <c r="G74" s="74"/>
      <c r="H74" s="74"/>
      <c r="I74" s="134"/>
      <c r="J74" s="74"/>
      <c r="K74" s="111">
        <f t="shared" si="0"/>
        <v>0</v>
      </c>
    </row>
    <row r="75" spans="1:11" x14ac:dyDescent="0.25">
      <c r="A75" s="167">
        <v>24</v>
      </c>
      <c r="B75" s="74"/>
      <c r="C75" s="80"/>
      <c r="D75" s="80"/>
      <c r="E75" s="74"/>
      <c r="F75" s="74" t="s">
        <v>30</v>
      </c>
      <c r="G75" s="74"/>
      <c r="H75" s="74"/>
      <c r="I75" s="134"/>
      <c r="J75" s="74"/>
      <c r="K75" s="111">
        <f t="shared" si="0"/>
        <v>0</v>
      </c>
    </row>
    <row r="76" spans="1:11" x14ac:dyDescent="0.25">
      <c r="A76" s="167">
        <v>25</v>
      </c>
      <c r="B76" s="74"/>
      <c r="C76" s="80"/>
      <c r="D76" s="80"/>
      <c r="E76" s="74"/>
      <c r="F76" s="74" t="s">
        <v>30</v>
      </c>
      <c r="G76" s="74"/>
      <c r="H76" s="74"/>
      <c r="I76" s="134"/>
      <c r="J76" s="74"/>
      <c r="K76" s="111">
        <f t="shared" si="0"/>
        <v>0</v>
      </c>
    </row>
    <row r="77" spans="1:11" x14ac:dyDescent="0.25">
      <c r="A77" s="167">
        <v>26</v>
      </c>
      <c r="B77" s="112"/>
      <c r="C77" s="113"/>
      <c r="D77" s="112"/>
      <c r="E77" s="112"/>
      <c r="F77" s="74" t="s">
        <v>30</v>
      </c>
      <c r="G77" s="135"/>
      <c r="H77" s="85"/>
      <c r="I77" s="136"/>
      <c r="J77" s="85"/>
      <c r="K77" s="111">
        <f t="shared" si="0"/>
        <v>0</v>
      </c>
    </row>
    <row r="78" spans="1:11" x14ac:dyDescent="0.25">
      <c r="A78" s="231" t="s">
        <v>37</v>
      </c>
      <c r="B78" s="231"/>
      <c r="C78" s="231"/>
      <c r="D78" s="231"/>
      <c r="E78" s="231"/>
      <c r="F78" s="117"/>
      <c r="G78" s="117"/>
      <c r="H78" s="117"/>
      <c r="I78" s="118"/>
      <c r="J78" s="119"/>
      <c r="K78" s="120">
        <f>SUM(K60:K77)</f>
        <v>54094780.752000004</v>
      </c>
    </row>
    <row r="79" spans="1:11" x14ac:dyDescent="0.25">
      <c r="A79" s="72"/>
      <c r="B79" s="72"/>
      <c r="C79" s="72"/>
      <c r="D79" s="72"/>
      <c r="E79" s="72"/>
      <c r="F79" s="72"/>
      <c r="G79" s="72"/>
      <c r="H79" s="72"/>
      <c r="I79" s="72"/>
      <c r="J79" s="72"/>
      <c r="K79" s="72"/>
    </row>
    <row r="80" spans="1:11" x14ac:dyDescent="0.25">
      <c r="A80" s="72"/>
      <c r="B80" s="72"/>
      <c r="C80" s="72"/>
      <c r="D80" s="72"/>
      <c r="E80" s="72"/>
      <c r="F80" s="72"/>
      <c r="G80" s="72"/>
      <c r="H80" s="72"/>
      <c r="I80" s="72"/>
      <c r="J80" s="72"/>
      <c r="K80" s="72"/>
    </row>
    <row r="81" spans="1:11" x14ac:dyDescent="0.25">
      <c r="A81" s="72"/>
      <c r="B81" s="72"/>
      <c r="C81" s="72"/>
      <c r="D81" s="72"/>
      <c r="E81" s="72"/>
      <c r="F81" s="72"/>
      <c r="G81" s="72"/>
      <c r="H81" s="72"/>
      <c r="I81" s="72"/>
      <c r="J81" s="72"/>
      <c r="K81" s="72"/>
    </row>
    <row r="82" spans="1:11" x14ac:dyDescent="0.25">
      <c r="A82" s="72"/>
      <c r="B82" s="72"/>
      <c r="C82" s="72"/>
      <c r="D82" s="72"/>
      <c r="E82" s="72"/>
      <c r="F82" s="72"/>
      <c r="G82" s="72"/>
      <c r="H82" s="72"/>
      <c r="I82" s="72"/>
      <c r="J82" s="72"/>
      <c r="K82" s="72"/>
    </row>
    <row r="83" spans="1:11" ht="15.75" thickBot="1" x14ac:dyDescent="0.3">
      <c r="A83" s="72"/>
      <c r="B83" s="72"/>
      <c r="C83" s="72"/>
      <c r="D83" s="72"/>
      <c r="E83" s="72"/>
      <c r="F83" s="72"/>
      <c r="G83" s="72"/>
      <c r="H83" s="72"/>
      <c r="I83" s="72"/>
      <c r="J83" s="72"/>
      <c r="K83" s="72"/>
    </row>
    <row r="84" spans="1:11" ht="16.5" thickTop="1" thickBot="1" x14ac:dyDescent="0.3">
      <c r="A84" s="72"/>
      <c r="B84" s="72"/>
      <c r="C84" s="72"/>
      <c r="D84" s="72"/>
      <c r="E84" s="121" t="s">
        <v>38</v>
      </c>
      <c r="F84" s="121"/>
      <c r="G84" s="121"/>
      <c r="H84" s="122"/>
      <c r="I84" s="122"/>
      <c r="J84" s="122"/>
      <c r="K84" s="123">
        <f>K78</f>
        <v>54094780.752000004</v>
      </c>
    </row>
    <row r="85" spans="1:11" ht="16.5" thickTop="1" thickBot="1" x14ac:dyDescent="0.3">
      <c r="A85" s="72"/>
      <c r="B85" s="72"/>
      <c r="C85" s="72"/>
      <c r="D85" s="72"/>
      <c r="E85" s="33"/>
      <c r="F85" s="33"/>
      <c r="G85" s="33"/>
      <c r="H85" s="72"/>
      <c r="I85" s="72"/>
      <c r="J85" s="72"/>
      <c r="K85" s="72"/>
    </row>
    <row r="86" spans="1:11" ht="16.5" thickTop="1" thickBot="1" x14ac:dyDescent="0.3">
      <c r="A86" s="72"/>
      <c r="B86" s="72"/>
      <c r="C86" s="72"/>
      <c r="D86" s="72"/>
      <c r="E86" s="121" t="s">
        <v>40</v>
      </c>
      <c r="F86" s="121"/>
      <c r="G86" s="121"/>
      <c r="H86" s="122"/>
      <c r="I86" s="122"/>
      <c r="J86" s="122"/>
      <c r="K86" s="124">
        <f>K51-K78</f>
        <v>6551145.4179999977</v>
      </c>
    </row>
    <row r="87" spans="1:11" ht="15.75" thickTop="1" x14ac:dyDescent="0.25"/>
  </sheetData>
  <mergeCells count="8">
    <mergeCell ref="A78:E78"/>
    <mergeCell ref="E4:J4"/>
    <mergeCell ref="E6:J6"/>
    <mergeCell ref="E8:J8"/>
    <mergeCell ref="E47:J47"/>
    <mergeCell ref="E51:J51"/>
    <mergeCell ref="I58:I59"/>
    <mergeCell ref="J58:J5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P95"/>
  <sheetViews>
    <sheetView topLeftCell="A69" workbookViewId="0">
      <selection activeCell="J19" sqref="J19"/>
    </sheetView>
  </sheetViews>
  <sheetFormatPr defaultRowHeight="15" x14ac:dyDescent="0.25"/>
  <cols>
    <col min="1" max="1" width="3.5703125" customWidth="1"/>
    <col min="2" max="2" width="8.42578125" customWidth="1"/>
    <col min="3" max="3" width="8.7109375" customWidth="1"/>
    <col min="4" max="4" width="16.85546875" customWidth="1"/>
    <col min="5" max="5" width="13.5703125" customWidth="1"/>
    <col min="6" max="6" width="8" customWidth="1"/>
    <col min="7" max="7" width="10" customWidth="1"/>
    <col min="8" max="8" width="4.85546875" customWidth="1"/>
    <col min="9" max="9" width="11.85546875" customWidth="1"/>
    <col min="11" max="11" width="14.140625" customWidth="1"/>
    <col min="13" max="13" width="16.140625" customWidth="1"/>
    <col min="16" max="16" width="14.28515625" bestFit="1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ht="15.75" x14ac:dyDescent="0.25">
      <c r="A5" s="74"/>
      <c r="B5" s="162"/>
      <c r="C5" s="162"/>
      <c r="D5" s="162"/>
      <c r="E5" s="164" t="s">
        <v>85</v>
      </c>
      <c r="F5" s="164"/>
      <c r="G5" s="164"/>
      <c r="H5" s="162"/>
      <c r="I5" s="162"/>
      <c r="J5" s="162"/>
      <c r="K5" s="163">
        <v>9113228.4900000002</v>
      </c>
    </row>
    <row r="6" spans="1:11" x14ac:dyDescent="0.25">
      <c r="A6" s="88">
        <v>1</v>
      </c>
      <c r="B6" s="80">
        <v>45499</v>
      </c>
      <c r="C6" s="76" t="s">
        <v>99</v>
      </c>
      <c r="D6" s="76" t="s">
        <v>100</v>
      </c>
      <c r="E6" s="232" t="s">
        <v>78</v>
      </c>
      <c r="F6" s="232"/>
      <c r="G6" s="232"/>
      <c r="H6" s="232"/>
      <c r="I6" s="232"/>
      <c r="J6" s="232"/>
      <c r="K6" s="77">
        <v>4000000</v>
      </c>
    </row>
    <row r="7" spans="1:11" x14ac:dyDescent="0.25">
      <c r="A7" s="85">
        <v>2</v>
      </c>
      <c r="B7" s="86">
        <v>45513</v>
      </c>
      <c r="C7" s="76" t="s">
        <v>99</v>
      </c>
      <c r="D7" s="76" t="s">
        <v>118</v>
      </c>
      <c r="E7" s="232" t="s">
        <v>143</v>
      </c>
      <c r="F7" s="232"/>
      <c r="G7" s="232"/>
      <c r="H7" s="232"/>
      <c r="I7" s="232"/>
      <c r="J7" s="232"/>
      <c r="K7" s="87">
        <v>2500000</v>
      </c>
    </row>
    <row r="8" spans="1:11" x14ac:dyDescent="0.25">
      <c r="A8" s="88">
        <v>3</v>
      </c>
      <c r="B8" s="80">
        <v>45524</v>
      </c>
      <c r="C8" s="76" t="s">
        <v>99</v>
      </c>
      <c r="D8" s="138" t="s">
        <v>144</v>
      </c>
      <c r="E8" s="232" t="s">
        <v>143</v>
      </c>
      <c r="F8" s="232"/>
      <c r="G8" s="232"/>
      <c r="H8" s="232"/>
      <c r="I8" s="232"/>
      <c r="J8" s="232"/>
      <c r="K8" s="139">
        <v>3000000</v>
      </c>
    </row>
    <row r="9" spans="1:11" x14ac:dyDescent="0.25">
      <c r="A9" s="85">
        <v>4</v>
      </c>
      <c r="B9" s="80">
        <v>45537</v>
      </c>
      <c r="C9" s="76" t="s">
        <v>99</v>
      </c>
      <c r="D9" s="76" t="s">
        <v>181</v>
      </c>
      <c r="E9" s="232" t="s">
        <v>180</v>
      </c>
      <c r="F9" s="232"/>
      <c r="G9" s="232"/>
      <c r="H9" s="232"/>
      <c r="I9" s="232"/>
      <c r="J9" s="232"/>
      <c r="K9" s="77">
        <v>4000000</v>
      </c>
    </row>
    <row r="10" spans="1:11" x14ac:dyDescent="0.25">
      <c r="A10" s="88">
        <v>5</v>
      </c>
      <c r="B10" s="80">
        <v>45546</v>
      </c>
      <c r="C10" s="76" t="s">
        <v>99</v>
      </c>
      <c r="D10" s="76" t="s">
        <v>100</v>
      </c>
      <c r="E10" s="232" t="s">
        <v>78</v>
      </c>
      <c r="F10" s="232"/>
      <c r="G10" s="232"/>
      <c r="H10" s="232"/>
      <c r="I10" s="232"/>
      <c r="J10" s="232"/>
      <c r="K10" s="77">
        <v>4000000</v>
      </c>
    </row>
    <row r="11" spans="1:11" x14ac:dyDescent="0.25">
      <c r="A11" s="85">
        <v>6</v>
      </c>
      <c r="B11" s="80">
        <v>45572</v>
      </c>
      <c r="C11" s="76" t="s">
        <v>99</v>
      </c>
      <c r="D11" s="76" t="s">
        <v>100</v>
      </c>
      <c r="E11" s="232" t="s">
        <v>78</v>
      </c>
      <c r="F11" s="232"/>
      <c r="G11" s="232"/>
      <c r="H11" s="232"/>
      <c r="I11" s="232"/>
      <c r="J11" s="232"/>
      <c r="K11" s="77">
        <v>2000000</v>
      </c>
    </row>
    <row r="12" spans="1:11" x14ac:dyDescent="0.25">
      <c r="A12" s="88">
        <v>7</v>
      </c>
      <c r="B12" s="80">
        <v>45579</v>
      </c>
      <c r="C12" s="76" t="s">
        <v>99</v>
      </c>
      <c r="D12" s="76" t="s">
        <v>100</v>
      </c>
      <c r="E12" s="232" t="s">
        <v>78</v>
      </c>
      <c r="F12" s="232"/>
      <c r="G12" s="232"/>
      <c r="H12" s="232"/>
      <c r="I12" s="232"/>
      <c r="J12" s="232"/>
      <c r="K12" s="77">
        <v>4300000</v>
      </c>
    </row>
    <row r="13" spans="1:11" x14ac:dyDescent="0.25">
      <c r="A13" s="85">
        <v>8</v>
      </c>
      <c r="B13" s="80">
        <v>45609</v>
      </c>
      <c r="C13" s="76" t="s">
        <v>99</v>
      </c>
      <c r="D13" s="76" t="s">
        <v>272</v>
      </c>
      <c r="E13" s="232" t="s">
        <v>78</v>
      </c>
      <c r="F13" s="232"/>
      <c r="G13" s="232"/>
      <c r="H13" s="232"/>
      <c r="I13" s="232"/>
      <c r="J13" s="232"/>
      <c r="K13" s="77">
        <v>4300000</v>
      </c>
    </row>
    <row r="14" spans="1:11" x14ac:dyDescent="0.25">
      <c r="A14" s="88">
        <v>9</v>
      </c>
      <c r="B14" s="80">
        <v>45625</v>
      </c>
      <c r="C14" s="145" t="s">
        <v>25</v>
      </c>
      <c r="D14" s="76" t="s">
        <v>290</v>
      </c>
      <c r="E14" s="232" t="s">
        <v>78</v>
      </c>
      <c r="F14" s="232"/>
      <c r="G14" s="232"/>
      <c r="H14" s="232"/>
      <c r="I14" s="232"/>
      <c r="J14" s="232"/>
      <c r="K14" s="77">
        <v>4300000</v>
      </c>
    </row>
    <row r="15" spans="1:11" x14ac:dyDescent="0.25">
      <c r="A15" s="85">
        <v>10</v>
      </c>
      <c r="B15" s="80">
        <v>45652</v>
      </c>
      <c r="C15" s="145" t="s">
        <v>25</v>
      </c>
      <c r="D15" s="76" t="s">
        <v>326</v>
      </c>
      <c r="E15" s="232" t="s">
        <v>78</v>
      </c>
      <c r="F15" s="232"/>
      <c r="G15" s="232"/>
      <c r="H15" s="232"/>
      <c r="I15" s="232"/>
      <c r="J15" s="232"/>
      <c r="K15" s="77">
        <v>4300000</v>
      </c>
    </row>
    <row r="16" spans="1:11" x14ac:dyDescent="0.25">
      <c r="A16" s="88">
        <v>11</v>
      </c>
      <c r="B16" s="80"/>
      <c r="C16" s="78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5">
        <v>12</v>
      </c>
      <c r="B17" s="72"/>
      <c r="C17" s="77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8">
        <v>13</v>
      </c>
      <c r="B18" s="80"/>
      <c r="C18" s="72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5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8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5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8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5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8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5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ht="3.75" customHeight="1" x14ac:dyDescent="0.25">
      <c r="A26" s="84">
        <v>20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hidden="1" x14ac:dyDescent="0.25">
      <c r="A27" s="84">
        <v>21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hidden="1" x14ac:dyDescent="0.25">
      <c r="A28" s="84">
        <v>22</v>
      </c>
      <c r="B28" s="80"/>
      <c r="C28" s="77"/>
      <c r="D28" s="76"/>
      <c r="E28" s="126"/>
      <c r="F28" s="127"/>
      <c r="G28" s="127"/>
      <c r="H28" s="127"/>
      <c r="I28" s="127"/>
      <c r="J28" s="128"/>
      <c r="K28" s="77"/>
    </row>
    <row r="29" spans="1:11" hidden="1" x14ac:dyDescent="0.25">
      <c r="A29" s="84">
        <v>23</v>
      </c>
      <c r="B29" s="80"/>
      <c r="C29" s="129"/>
      <c r="D29" s="76"/>
      <c r="E29" s="126"/>
      <c r="F29" s="127"/>
      <c r="G29" s="127"/>
      <c r="H29" s="127"/>
      <c r="I29" s="127"/>
      <c r="J29" s="128"/>
      <c r="K29" s="77"/>
    </row>
    <row r="30" spans="1:11" hidden="1" x14ac:dyDescent="0.25">
      <c r="A30" s="84">
        <v>24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hidden="1" x14ac:dyDescent="0.25">
      <c r="A31" s="84">
        <v>25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hidden="1" x14ac:dyDescent="0.25">
      <c r="A32" s="84">
        <v>26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6" hidden="1" x14ac:dyDescent="0.25">
      <c r="A33" s="84">
        <v>27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6" hidden="1" x14ac:dyDescent="0.25">
      <c r="A34" s="84">
        <v>28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6" hidden="1" x14ac:dyDescent="0.25">
      <c r="A35" s="84">
        <v>29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6" hidden="1" x14ac:dyDescent="0.25">
      <c r="A36" s="84">
        <v>30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6" hidden="1" x14ac:dyDescent="0.25">
      <c r="A37" s="84">
        <v>31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6" hidden="1" x14ac:dyDescent="0.25">
      <c r="A38" s="84">
        <v>32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6" hidden="1" x14ac:dyDescent="0.25">
      <c r="A39" s="84">
        <v>33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6" hidden="1" x14ac:dyDescent="0.25">
      <c r="A40" s="84">
        <v>34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6" hidden="1" x14ac:dyDescent="0.25">
      <c r="A41" s="84">
        <v>35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6" hidden="1" x14ac:dyDescent="0.25">
      <c r="A42" s="84">
        <v>36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6" hidden="1" x14ac:dyDescent="0.25">
      <c r="A43" s="84">
        <v>37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6" hidden="1" x14ac:dyDescent="0.25">
      <c r="A44" s="84">
        <v>38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6" hidden="1" x14ac:dyDescent="0.25">
      <c r="A45" s="84">
        <v>39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6" hidden="1" x14ac:dyDescent="0.25">
      <c r="A46" s="84">
        <v>40</v>
      </c>
      <c r="B46" s="80"/>
      <c r="C46" s="77"/>
      <c r="D46" s="76"/>
      <c r="E46" s="126"/>
      <c r="F46" s="127"/>
      <c r="G46" s="127"/>
      <c r="H46" s="127"/>
      <c r="I46" s="127"/>
      <c r="J46" s="128"/>
      <c r="K46" s="77"/>
    </row>
    <row r="47" spans="1:16" hidden="1" x14ac:dyDescent="0.25">
      <c r="A47" s="84">
        <v>41</v>
      </c>
      <c r="B47" s="93"/>
      <c r="C47" s="90"/>
      <c r="D47" s="76"/>
      <c r="E47" s="236"/>
      <c r="F47" s="237"/>
      <c r="G47" s="237"/>
      <c r="H47" s="237"/>
      <c r="I47" s="237"/>
      <c r="J47" s="238"/>
      <c r="K47" s="77"/>
    </row>
    <row r="48" spans="1:16" x14ac:dyDescent="0.25">
      <c r="A48" s="84"/>
      <c r="B48" s="94"/>
      <c r="C48" s="85"/>
      <c r="D48" s="85"/>
      <c r="E48" s="74"/>
      <c r="F48" s="74"/>
      <c r="G48" s="74"/>
      <c r="H48" s="74"/>
      <c r="I48" s="74"/>
      <c r="J48" s="74"/>
      <c r="K48" s="74"/>
      <c r="P48" s="165">
        <v>13113228</v>
      </c>
    </row>
    <row r="49" spans="1:13" x14ac:dyDescent="0.25">
      <c r="A49" s="84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3" ht="15.75" thickBot="1" x14ac:dyDescent="0.3">
      <c r="A50" s="84"/>
      <c r="B50" s="93"/>
      <c r="C50" s="90"/>
      <c r="D50" s="76"/>
      <c r="E50" s="76"/>
      <c r="F50" s="76"/>
      <c r="G50" s="76"/>
      <c r="H50" s="76"/>
      <c r="I50" s="76"/>
      <c r="J50" s="76"/>
      <c r="K50" s="74"/>
    </row>
    <row r="51" spans="1:13" ht="16.5" thickTop="1" thickBot="1" x14ac:dyDescent="0.3">
      <c r="A51" s="95"/>
      <c r="B51" s="96"/>
      <c r="C51" s="97"/>
      <c r="D51" s="98"/>
      <c r="E51" s="240" t="s">
        <v>26</v>
      </c>
      <c r="F51" s="241"/>
      <c r="G51" s="241"/>
      <c r="H51" s="241"/>
      <c r="I51" s="241"/>
      <c r="J51" s="242"/>
      <c r="K51" s="169">
        <f>SUM(K5:K49)</f>
        <v>45813228.490000002</v>
      </c>
      <c r="M51" s="165">
        <v>13113228.49</v>
      </c>
    </row>
    <row r="52" spans="1:13" ht="15.75" thickTop="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3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3" x14ac:dyDescent="0.25">
      <c r="A54" s="95"/>
      <c r="B54" s="96"/>
      <c r="C54" s="97"/>
      <c r="D54" s="98"/>
      <c r="E54" s="98"/>
      <c r="F54" s="98"/>
      <c r="G54" s="98"/>
      <c r="H54" s="98"/>
      <c r="I54" s="98"/>
      <c r="J54" s="98"/>
      <c r="K54" s="99"/>
    </row>
    <row r="55" spans="1:13" x14ac:dyDescent="0.25">
      <c r="A55" s="95"/>
      <c r="B55" s="96"/>
      <c r="C55" s="97"/>
      <c r="D55" s="98"/>
      <c r="E55" s="100" t="s">
        <v>27</v>
      </c>
      <c r="F55" s="101"/>
      <c r="G55" s="101"/>
      <c r="H55" s="101"/>
      <c r="I55" s="98"/>
      <c r="J55" s="98"/>
      <c r="K55" s="99"/>
    </row>
    <row r="56" spans="1:13" x14ac:dyDescent="0.25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3" ht="15.75" thickBot="1" x14ac:dyDescent="0.3">
      <c r="A57" s="95"/>
      <c r="B57" s="96"/>
      <c r="C57" s="97"/>
      <c r="D57" s="98"/>
      <c r="E57" s="98"/>
      <c r="F57" s="98"/>
      <c r="G57" s="98"/>
      <c r="H57" s="98"/>
      <c r="I57" s="98"/>
      <c r="J57" s="98"/>
      <c r="K57" s="99"/>
    </row>
    <row r="58" spans="1:13" ht="63.75" x14ac:dyDescent="0.25">
      <c r="A58" s="102" t="s">
        <v>1</v>
      </c>
      <c r="B58" s="37" t="s">
        <v>10</v>
      </c>
      <c r="C58" s="103" t="s">
        <v>11</v>
      </c>
      <c r="D58" s="103"/>
      <c r="E58" s="103" t="s">
        <v>28</v>
      </c>
      <c r="F58" s="104" t="s">
        <v>13</v>
      </c>
      <c r="G58" s="104" t="s">
        <v>14</v>
      </c>
      <c r="H58" s="103" t="s">
        <v>15</v>
      </c>
      <c r="I58" s="227" t="s">
        <v>16</v>
      </c>
      <c r="J58" s="229" t="s">
        <v>29</v>
      </c>
      <c r="K58" s="41" t="s">
        <v>18</v>
      </c>
    </row>
    <row r="59" spans="1:13" x14ac:dyDescent="0.25">
      <c r="A59" s="105"/>
      <c r="B59" s="106"/>
      <c r="C59" s="107"/>
      <c r="D59" s="108" t="s">
        <v>19</v>
      </c>
      <c r="E59" s="107"/>
      <c r="F59" s="108"/>
      <c r="G59" s="108"/>
      <c r="H59" s="107"/>
      <c r="I59" s="228"/>
      <c r="J59" s="230"/>
      <c r="K59" s="109"/>
    </row>
    <row r="60" spans="1:13" x14ac:dyDescent="0.25">
      <c r="A60" s="110">
        <v>1</v>
      </c>
      <c r="B60" s="83">
        <v>790978</v>
      </c>
      <c r="C60" s="80">
        <v>45493</v>
      </c>
      <c r="D60" s="80" t="s">
        <v>71</v>
      </c>
      <c r="E60" s="74" t="s">
        <v>72</v>
      </c>
      <c r="F60" s="74" t="s">
        <v>30</v>
      </c>
      <c r="G60" s="74" t="s">
        <v>84</v>
      </c>
      <c r="H60" s="74" t="s">
        <v>33</v>
      </c>
      <c r="I60" s="77">
        <v>45667</v>
      </c>
      <c r="J60" s="74">
        <v>84.879199999999997</v>
      </c>
      <c r="K60" s="111">
        <f>I60*J60</f>
        <v>3876178.4263999998</v>
      </c>
    </row>
    <row r="61" spans="1:13" x14ac:dyDescent="0.25">
      <c r="A61" s="110">
        <v>2</v>
      </c>
      <c r="B61" s="74">
        <v>802099</v>
      </c>
      <c r="C61" s="75">
        <v>45517</v>
      </c>
      <c r="D61" s="80" t="s">
        <v>133</v>
      </c>
      <c r="E61" t="s">
        <v>132</v>
      </c>
      <c r="F61" s="74" t="s">
        <v>30</v>
      </c>
      <c r="G61" s="74" t="s">
        <v>84</v>
      </c>
      <c r="H61" s="81" t="s">
        <v>32</v>
      </c>
      <c r="I61" s="77">
        <v>46632</v>
      </c>
      <c r="J61" s="74">
        <v>86.019199999999998</v>
      </c>
      <c r="K61" s="111">
        <f t="shared" ref="K61:K85" si="0">I61*J61</f>
        <v>4011247.3344000001</v>
      </c>
    </row>
    <row r="62" spans="1:13" x14ac:dyDescent="0.25">
      <c r="A62" s="110">
        <v>3</v>
      </c>
      <c r="B62" s="74">
        <v>805665</v>
      </c>
      <c r="C62" s="157">
        <v>45531</v>
      </c>
      <c r="D62" s="80" t="s">
        <v>92</v>
      </c>
      <c r="E62" s="74" t="s">
        <v>93</v>
      </c>
      <c r="F62" s="74" t="s">
        <v>30</v>
      </c>
      <c r="G62" s="74" t="s">
        <v>84</v>
      </c>
      <c r="H62" s="74" t="s">
        <v>33</v>
      </c>
      <c r="I62" s="77">
        <v>45833</v>
      </c>
      <c r="J62" s="74">
        <v>84.879199999999997</v>
      </c>
      <c r="K62" s="111">
        <f t="shared" si="0"/>
        <v>3890268.3736</v>
      </c>
    </row>
    <row r="63" spans="1:13" x14ac:dyDescent="0.25">
      <c r="A63" s="110">
        <v>4</v>
      </c>
      <c r="B63" s="83">
        <v>813257</v>
      </c>
      <c r="C63" s="80">
        <v>45546</v>
      </c>
      <c r="D63" s="80" t="s">
        <v>133</v>
      </c>
      <c r="E63" t="s">
        <v>132</v>
      </c>
      <c r="F63" s="74" t="s">
        <v>30</v>
      </c>
      <c r="G63" s="74" t="s">
        <v>84</v>
      </c>
      <c r="H63" s="81" t="s">
        <v>32</v>
      </c>
      <c r="I63" s="77">
        <v>46608</v>
      </c>
      <c r="J63" s="74">
        <v>86.019199999999998</v>
      </c>
      <c r="K63" s="111">
        <f t="shared" si="0"/>
        <v>4009182.8736</v>
      </c>
    </row>
    <row r="64" spans="1:13" x14ac:dyDescent="0.25">
      <c r="A64" s="110">
        <v>5</v>
      </c>
      <c r="B64" s="83">
        <v>821689</v>
      </c>
      <c r="C64" s="80">
        <v>45576</v>
      </c>
      <c r="D64" s="80" t="s">
        <v>73</v>
      </c>
      <c r="E64" s="74" t="s">
        <v>55</v>
      </c>
      <c r="F64" s="74" t="s">
        <v>30</v>
      </c>
      <c r="G64" s="74" t="s">
        <v>84</v>
      </c>
      <c r="H64" s="74" t="s">
        <v>33</v>
      </c>
      <c r="I64" s="77">
        <v>46628</v>
      </c>
      <c r="J64" s="74">
        <v>93.499200000000002</v>
      </c>
      <c r="K64" s="111">
        <f t="shared" si="0"/>
        <v>4359680.6976000005</v>
      </c>
    </row>
    <row r="65" spans="1:11" x14ac:dyDescent="0.25">
      <c r="A65" s="110">
        <v>6</v>
      </c>
      <c r="B65" s="83">
        <v>823475</v>
      </c>
      <c r="C65" s="80">
        <v>45576</v>
      </c>
      <c r="D65" s="80" t="s">
        <v>120</v>
      </c>
      <c r="E65" s="74" t="s">
        <v>72</v>
      </c>
      <c r="F65" s="74" t="s">
        <v>30</v>
      </c>
      <c r="G65" s="74" t="s">
        <v>84</v>
      </c>
      <c r="H65" s="81" t="s">
        <v>32</v>
      </c>
      <c r="I65" s="77">
        <v>46048</v>
      </c>
      <c r="J65" s="74">
        <v>92.639200000000002</v>
      </c>
      <c r="K65" s="111">
        <f t="shared" si="0"/>
        <v>4265849.8816</v>
      </c>
    </row>
    <row r="66" spans="1:11" x14ac:dyDescent="0.25">
      <c r="A66" s="167">
        <v>7</v>
      </c>
      <c r="B66" s="83">
        <v>834606</v>
      </c>
      <c r="C66" s="80">
        <v>45605</v>
      </c>
      <c r="D66" s="80" t="s">
        <v>133</v>
      </c>
      <c r="E66" t="s">
        <v>132</v>
      </c>
      <c r="F66" s="74" t="s">
        <v>30</v>
      </c>
      <c r="G66" s="74" t="s">
        <v>84</v>
      </c>
      <c r="H66" s="81" t="s">
        <v>32</v>
      </c>
      <c r="I66" s="77">
        <v>46552</v>
      </c>
      <c r="J66" s="74">
        <v>92.639200000000002</v>
      </c>
      <c r="K66" s="111">
        <f t="shared" si="0"/>
        <v>4312540.0384</v>
      </c>
    </row>
    <row r="67" spans="1:11" x14ac:dyDescent="0.25">
      <c r="A67" s="167">
        <v>8</v>
      </c>
      <c r="B67" s="83">
        <v>844579</v>
      </c>
      <c r="C67" s="80">
        <v>45633</v>
      </c>
      <c r="D67" s="80" t="s">
        <v>133</v>
      </c>
      <c r="E67" t="s">
        <v>132</v>
      </c>
      <c r="F67" s="74" t="s">
        <v>30</v>
      </c>
      <c r="G67" s="74" t="s">
        <v>84</v>
      </c>
      <c r="H67" s="81" t="s">
        <v>32</v>
      </c>
      <c r="I67" s="77">
        <v>46755</v>
      </c>
      <c r="J67" s="74">
        <v>92.639200000000002</v>
      </c>
      <c r="K67" s="111">
        <f t="shared" si="0"/>
        <v>4331345.7960000001</v>
      </c>
    </row>
    <row r="68" spans="1:11" x14ac:dyDescent="0.25">
      <c r="A68" s="167">
        <v>9</v>
      </c>
      <c r="B68" s="85"/>
      <c r="C68" s="86"/>
      <c r="D68" s="80"/>
      <c r="E68" s="74"/>
      <c r="F68" s="74" t="s">
        <v>30</v>
      </c>
      <c r="G68" s="74"/>
      <c r="H68" s="74"/>
      <c r="I68" s="87"/>
      <c r="J68" s="85"/>
      <c r="K68" s="111">
        <f t="shared" si="0"/>
        <v>0</v>
      </c>
    </row>
    <row r="69" spans="1:11" x14ac:dyDescent="0.25">
      <c r="A69" s="167">
        <v>10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167">
        <v>11</v>
      </c>
      <c r="B70" s="74"/>
      <c r="C70" s="80"/>
      <c r="D70" s="80"/>
      <c r="E70" s="74"/>
      <c r="F70" s="74" t="s">
        <v>30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167">
        <v>12</v>
      </c>
      <c r="B71" s="74"/>
      <c r="C71" s="80"/>
      <c r="D71" s="80"/>
      <c r="F71" s="74" t="s">
        <v>30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167">
        <v>13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167">
        <v>14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167">
        <v>15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167">
        <v>16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167">
        <v>17</v>
      </c>
      <c r="B76" s="74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167">
        <v>18</v>
      </c>
      <c r="B77" s="133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167">
        <v>19</v>
      </c>
      <c r="B78" s="74"/>
      <c r="C78" s="80"/>
      <c r="D78" s="80"/>
      <c r="E78" s="74"/>
      <c r="F78" s="74" t="s">
        <v>30</v>
      </c>
      <c r="G78" s="74"/>
      <c r="H78" s="74"/>
      <c r="I78" s="77"/>
      <c r="J78" s="74"/>
      <c r="K78" s="111">
        <f t="shared" si="0"/>
        <v>0</v>
      </c>
    </row>
    <row r="79" spans="1:11" x14ac:dyDescent="0.25">
      <c r="A79" s="167">
        <v>20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167">
        <v>21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0"/>
        <v>0</v>
      </c>
    </row>
    <row r="81" spans="1:11" x14ac:dyDescent="0.25">
      <c r="A81" s="167">
        <v>22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0"/>
        <v>0</v>
      </c>
    </row>
    <row r="82" spans="1:11" x14ac:dyDescent="0.25">
      <c r="A82" s="167">
        <v>23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0"/>
        <v>0</v>
      </c>
    </row>
    <row r="83" spans="1:11" x14ac:dyDescent="0.25">
      <c r="A83" s="167">
        <v>24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>
        <f t="shared" si="0"/>
        <v>0</v>
      </c>
    </row>
    <row r="84" spans="1:11" x14ac:dyDescent="0.25">
      <c r="A84" s="167">
        <v>25</v>
      </c>
      <c r="B84" s="74"/>
      <c r="C84" s="80"/>
      <c r="D84" s="80"/>
      <c r="E84" s="74"/>
      <c r="F84" s="74" t="s">
        <v>30</v>
      </c>
      <c r="G84" s="74"/>
      <c r="H84" s="74"/>
      <c r="I84" s="134"/>
      <c r="J84" s="74"/>
      <c r="K84" s="111">
        <f t="shared" si="0"/>
        <v>0</v>
      </c>
    </row>
    <row r="85" spans="1:11" x14ac:dyDescent="0.25">
      <c r="A85" s="167">
        <v>26</v>
      </c>
      <c r="B85" s="112"/>
      <c r="C85" s="113"/>
      <c r="D85" s="112"/>
      <c r="E85" s="112"/>
      <c r="F85" s="74" t="s">
        <v>30</v>
      </c>
      <c r="G85" s="135"/>
      <c r="H85" s="85"/>
      <c r="I85" s="136"/>
      <c r="J85" s="85"/>
      <c r="K85" s="111">
        <f t="shared" si="0"/>
        <v>0</v>
      </c>
    </row>
    <row r="86" spans="1:11" x14ac:dyDescent="0.25">
      <c r="A86" s="231" t="s">
        <v>37</v>
      </c>
      <c r="B86" s="231"/>
      <c r="C86" s="231"/>
      <c r="D86" s="231"/>
      <c r="E86" s="231"/>
      <c r="F86" s="117"/>
      <c r="G86" s="117"/>
      <c r="H86" s="117"/>
      <c r="I86" s="118"/>
      <c r="J86" s="119"/>
      <c r="K86" s="120">
        <f>SUM(K60:K85)</f>
        <v>33056293.421600003</v>
      </c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5.75" thickBo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</row>
    <row r="92" spans="1:11" ht="16.5" thickTop="1" thickBot="1" x14ac:dyDescent="0.3">
      <c r="A92" s="72"/>
      <c r="B92" s="72"/>
      <c r="C92" s="72"/>
      <c r="D92" s="72"/>
      <c r="E92" s="121" t="s">
        <v>38</v>
      </c>
      <c r="F92" s="121"/>
      <c r="G92" s="121"/>
      <c r="H92" s="122"/>
      <c r="I92" s="122"/>
      <c r="J92" s="122"/>
      <c r="K92" s="123">
        <f>K86</f>
        <v>33056293.421600003</v>
      </c>
    </row>
    <row r="93" spans="1:11" ht="16.5" thickTop="1" thickBot="1" x14ac:dyDescent="0.3">
      <c r="A93" s="72"/>
      <c r="B93" s="72"/>
      <c r="C93" s="72"/>
      <c r="D93" s="72"/>
      <c r="E93" s="33"/>
      <c r="F93" s="33"/>
      <c r="G93" s="33"/>
      <c r="H93" s="72"/>
      <c r="I93" s="72"/>
      <c r="J93" s="72"/>
      <c r="K93" s="72"/>
    </row>
    <row r="94" spans="1:11" ht="16.5" thickTop="1" thickBot="1" x14ac:dyDescent="0.3">
      <c r="A94" s="72"/>
      <c r="B94" s="72"/>
      <c r="C94" s="72"/>
      <c r="D94" s="72"/>
      <c r="E94" s="121" t="s">
        <v>40</v>
      </c>
      <c r="F94" s="121"/>
      <c r="G94" s="121"/>
      <c r="H94" s="122"/>
      <c r="I94" s="122"/>
      <c r="J94" s="122"/>
      <c r="K94" s="124">
        <f>K51-K86</f>
        <v>12756935.068399999</v>
      </c>
    </row>
    <row r="95" spans="1:11" ht="15.75" thickTop="1" x14ac:dyDescent="0.25"/>
  </sheetData>
  <mergeCells count="16">
    <mergeCell ref="A86:E86"/>
    <mergeCell ref="E4:J4"/>
    <mergeCell ref="E6:J6"/>
    <mergeCell ref="E8:J8"/>
    <mergeCell ref="E47:J47"/>
    <mergeCell ref="E51:J51"/>
    <mergeCell ref="I58:I59"/>
    <mergeCell ref="J58:J59"/>
    <mergeCell ref="E7:J7"/>
    <mergeCell ref="E9:J9"/>
    <mergeCell ref="E10:J10"/>
    <mergeCell ref="E11:J11"/>
    <mergeCell ref="E12:J12"/>
    <mergeCell ref="E13:J13"/>
    <mergeCell ref="E14:J14"/>
    <mergeCell ref="E15:J15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94"/>
  <sheetViews>
    <sheetView topLeftCell="A65" workbookViewId="0">
      <selection activeCell="M71" sqref="M71"/>
    </sheetView>
  </sheetViews>
  <sheetFormatPr defaultRowHeight="15" x14ac:dyDescent="0.25"/>
  <cols>
    <col min="1" max="1" width="3.42578125" customWidth="1"/>
    <col min="2" max="2" width="8.42578125" customWidth="1"/>
    <col min="3" max="3" width="8.7109375" customWidth="1"/>
    <col min="4" max="4" width="19.5703125" customWidth="1"/>
    <col min="5" max="5" width="13.5703125" customWidth="1"/>
    <col min="6" max="6" width="7.5703125" customWidth="1"/>
    <col min="7" max="7" width="10.28515625" customWidth="1"/>
    <col min="8" max="8" width="4.7109375" customWidth="1"/>
    <col min="9" max="9" width="10.5703125" bestFit="1" customWidth="1"/>
    <col min="11" max="11" width="14.8554687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9.25" customHeight="1" x14ac:dyDescent="0.25">
      <c r="A4" s="73" t="s">
        <v>1</v>
      </c>
      <c r="B4" s="73" t="s">
        <v>0</v>
      </c>
      <c r="C4" s="144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74"/>
      <c r="B5" s="74"/>
      <c r="C5" s="74"/>
      <c r="D5" s="74"/>
      <c r="E5" s="74" t="s">
        <v>59</v>
      </c>
      <c r="F5" s="74"/>
      <c r="G5" s="74"/>
      <c r="H5" s="74"/>
      <c r="I5" s="74"/>
      <c r="J5" s="74"/>
      <c r="K5" s="140">
        <v>4035574.24</v>
      </c>
    </row>
    <row r="6" spans="1:11" x14ac:dyDescent="0.25">
      <c r="A6" s="88">
        <v>1</v>
      </c>
      <c r="B6" s="80">
        <v>45505</v>
      </c>
      <c r="C6" s="74" t="s">
        <v>135</v>
      </c>
      <c r="D6" s="76" t="s">
        <v>105</v>
      </c>
      <c r="E6" s="232"/>
      <c r="F6" s="232"/>
      <c r="G6" s="232"/>
      <c r="H6" s="232"/>
      <c r="I6" s="232"/>
      <c r="J6" s="232"/>
      <c r="K6" s="77">
        <v>4000000</v>
      </c>
    </row>
    <row r="7" spans="1:11" x14ac:dyDescent="0.25">
      <c r="A7" s="85">
        <v>2</v>
      </c>
      <c r="B7" s="86">
        <v>45519</v>
      </c>
      <c r="C7" s="74" t="s">
        <v>135</v>
      </c>
      <c r="D7" s="76" t="s">
        <v>134</v>
      </c>
      <c r="E7" s="85"/>
      <c r="F7" s="85"/>
      <c r="G7" s="85"/>
      <c r="H7" s="85"/>
      <c r="I7" s="85"/>
      <c r="J7" s="85"/>
      <c r="K7" s="87">
        <v>2000000</v>
      </c>
    </row>
    <row r="8" spans="1:11" x14ac:dyDescent="0.25">
      <c r="A8" s="141">
        <v>2</v>
      </c>
      <c r="B8" s="80">
        <v>45523</v>
      </c>
      <c r="C8" s="74" t="s">
        <v>135</v>
      </c>
      <c r="D8" s="76" t="s">
        <v>139</v>
      </c>
      <c r="E8" s="232"/>
      <c r="F8" s="232"/>
      <c r="G8" s="232"/>
      <c r="H8" s="232"/>
      <c r="I8" s="232"/>
      <c r="J8" s="232"/>
      <c r="K8" s="139">
        <v>2000000</v>
      </c>
    </row>
    <row r="9" spans="1:11" x14ac:dyDescent="0.25">
      <c r="A9" s="125">
        <v>3</v>
      </c>
      <c r="B9" s="80">
        <v>45537</v>
      </c>
      <c r="C9" s="74" t="s">
        <v>135</v>
      </c>
      <c r="D9" s="76" t="s">
        <v>175</v>
      </c>
      <c r="E9" s="76"/>
      <c r="F9" s="76"/>
      <c r="G9" s="76"/>
      <c r="H9" s="76"/>
      <c r="I9" s="76"/>
      <c r="J9" s="76"/>
      <c r="K9" s="77">
        <v>3386280.4</v>
      </c>
    </row>
    <row r="10" spans="1:11" x14ac:dyDescent="0.25">
      <c r="A10" s="125">
        <v>4</v>
      </c>
      <c r="B10" s="80">
        <v>45559</v>
      </c>
      <c r="C10" s="74" t="s">
        <v>135</v>
      </c>
      <c r="D10" s="76" t="s">
        <v>203</v>
      </c>
      <c r="E10" s="76"/>
      <c r="F10" s="76"/>
      <c r="G10" s="76"/>
      <c r="H10" s="76"/>
      <c r="I10" s="76"/>
      <c r="J10" s="76"/>
      <c r="K10" s="77">
        <v>3800000</v>
      </c>
    </row>
    <row r="11" spans="1:11" x14ac:dyDescent="0.25">
      <c r="A11" s="88">
        <v>5</v>
      </c>
      <c r="B11" s="80">
        <v>45574</v>
      </c>
      <c r="C11" s="74" t="s">
        <v>135</v>
      </c>
      <c r="D11" s="76" t="s">
        <v>252</v>
      </c>
      <c r="E11" s="76"/>
      <c r="F11" s="76"/>
      <c r="G11" s="76"/>
      <c r="H11" s="76"/>
      <c r="I11" s="76"/>
      <c r="J11" s="76"/>
      <c r="K11" s="77">
        <v>3900000</v>
      </c>
    </row>
    <row r="12" spans="1:11" x14ac:dyDescent="0.25">
      <c r="A12" s="125">
        <v>6</v>
      </c>
      <c r="B12" s="80">
        <v>45576</v>
      </c>
      <c r="C12" s="74" t="s">
        <v>135</v>
      </c>
      <c r="D12" s="76" t="s">
        <v>250</v>
      </c>
      <c r="E12" s="76"/>
      <c r="F12" s="76"/>
      <c r="G12" s="76"/>
      <c r="H12" s="76"/>
      <c r="I12" s="76"/>
      <c r="J12" s="76"/>
      <c r="K12" s="77">
        <v>200000</v>
      </c>
    </row>
    <row r="13" spans="1:11" x14ac:dyDescent="0.25">
      <c r="A13" s="125">
        <v>7</v>
      </c>
      <c r="B13" s="80">
        <v>45601</v>
      </c>
      <c r="C13" s="74" t="s">
        <v>135</v>
      </c>
      <c r="D13" s="76" t="s">
        <v>251</v>
      </c>
      <c r="E13" s="76"/>
      <c r="F13" s="76"/>
      <c r="G13" s="76"/>
      <c r="H13" s="76"/>
      <c r="I13" s="76"/>
      <c r="J13" s="76"/>
      <c r="K13" s="77">
        <v>4100000</v>
      </c>
    </row>
    <row r="14" spans="1:11" x14ac:dyDescent="0.25">
      <c r="A14" s="88">
        <v>8</v>
      </c>
      <c r="B14" s="80">
        <v>45601</v>
      </c>
      <c r="C14" s="74" t="s">
        <v>135</v>
      </c>
      <c r="D14" s="76" t="s">
        <v>253</v>
      </c>
      <c r="E14" s="76"/>
      <c r="F14" s="76"/>
      <c r="G14" s="76"/>
      <c r="H14" s="76"/>
      <c r="I14" s="76"/>
      <c r="J14" s="76"/>
      <c r="K14" s="77">
        <v>200000</v>
      </c>
    </row>
    <row r="15" spans="1:11" x14ac:dyDescent="0.25">
      <c r="A15" s="125">
        <v>9</v>
      </c>
      <c r="B15" s="80">
        <v>45612</v>
      </c>
      <c r="C15" s="74" t="s">
        <v>135</v>
      </c>
      <c r="D15" s="76" t="s">
        <v>274</v>
      </c>
      <c r="E15" s="126"/>
      <c r="F15" s="127"/>
      <c r="G15" s="127"/>
      <c r="H15" s="127"/>
      <c r="I15" s="127"/>
      <c r="J15" s="128"/>
      <c r="K15" s="77">
        <v>4300000</v>
      </c>
    </row>
    <row r="16" spans="1:11" x14ac:dyDescent="0.25">
      <c r="A16" s="125">
        <v>10</v>
      </c>
      <c r="B16" s="80">
        <v>45636</v>
      </c>
      <c r="C16" s="74" t="s">
        <v>135</v>
      </c>
      <c r="D16" s="76" t="s">
        <v>315</v>
      </c>
      <c r="E16" s="126"/>
      <c r="F16" s="127"/>
      <c r="G16" s="127"/>
      <c r="H16" s="127"/>
      <c r="I16" s="127"/>
      <c r="J16" s="128"/>
      <c r="K16" s="77">
        <v>1500000</v>
      </c>
    </row>
    <row r="17" spans="1:11" x14ac:dyDescent="0.25">
      <c r="A17" s="84">
        <v>11</v>
      </c>
      <c r="B17" s="192">
        <v>45642</v>
      </c>
      <c r="C17" s="74" t="s">
        <v>135</v>
      </c>
      <c r="D17" s="76" t="s">
        <v>320</v>
      </c>
      <c r="E17" s="126"/>
      <c r="F17" s="127"/>
      <c r="G17" s="127"/>
      <c r="H17" s="127"/>
      <c r="I17" s="127"/>
      <c r="J17" s="128"/>
      <c r="K17" s="77">
        <v>2500000</v>
      </c>
    </row>
    <row r="18" spans="1:11" x14ac:dyDescent="0.25">
      <c r="A18" s="84">
        <v>12</v>
      </c>
      <c r="B18" s="80"/>
      <c r="C18" s="72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13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14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15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16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17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18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19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20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21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22</v>
      </c>
      <c r="B28" s="80"/>
      <c r="C28" s="77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23</v>
      </c>
      <c r="B29" s="80"/>
      <c r="C29" s="129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24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25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26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27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28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29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30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31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32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33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34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35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36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37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38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39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40</v>
      </c>
      <c r="B46" s="80"/>
      <c r="C46" s="77"/>
      <c r="D46" s="76"/>
      <c r="E46" s="126"/>
      <c r="F46" s="127"/>
      <c r="G46" s="127"/>
      <c r="H46" s="127"/>
      <c r="I46" s="127"/>
      <c r="J46" s="128"/>
      <c r="K46" s="77"/>
    </row>
    <row r="47" spans="1:11" x14ac:dyDescent="0.25">
      <c r="A47" s="84">
        <v>41</v>
      </c>
      <c r="B47" s="93"/>
      <c r="C47" s="90"/>
      <c r="D47" s="76"/>
      <c r="E47" s="236"/>
      <c r="F47" s="237"/>
      <c r="G47" s="237"/>
      <c r="H47" s="237"/>
      <c r="I47" s="237"/>
      <c r="J47" s="238"/>
      <c r="K47" s="77"/>
    </row>
    <row r="48" spans="1:11" x14ac:dyDescent="0.25">
      <c r="A48" s="84"/>
      <c r="B48" s="94"/>
      <c r="C48" s="85"/>
      <c r="D48" s="85"/>
      <c r="E48" s="74"/>
      <c r="F48" s="74"/>
      <c r="G48" s="74"/>
      <c r="H48" s="74"/>
      <c r="I48" s="74"/>
      <c r="J48" s="74"/>
      <c r="K48" s="74"/>
    </row>
    <row r="49" spans="1:11" x14ac:dyDescent="0.25">
      <c r="A49" s="84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1" ht="15.75" thickBot="1" x14ac:dyDescent="0.3">
      <c r="A50" s="84"/>
      <c r="B50" s="93"/>
      <c r="C50" s="90"/>
      <c r="D50" s="76"/>
      <c r="E50" s="76"/>
      <c r="F50" s="76"/>
      <c r="G50" s="76"/>
      <c r="H50" s="76"/>
      <c r="I50" s="76"/>
      <c r="J50" s="76"/>
      <c r="K50" s="92"/>
    </row>
    <row r="51" spans="1:11" ht="16.5" thickTop="1" thickBot="1" x14ac:dyDescent="0.3">
      <c r="A51" s="95"/>
      <c r="B51" s="96"/>
      <c r="C51" s="97"/>
      <c r="D51" s="98"/>
      <c r="E51" s="240" t="s">
        <v>26</v>
      </c>
      <c r="F51" s="241"/>
      <c r="G51" s="241"/>
      <c r="H51" s="241"/>
      <c r="I51" s="241"/>
      <c r="J51" s="242"/>
      <c r="K51" s="170">
        <f>SUM(K5:K50)</f>
        <v>35921854.640000001</v>
      </c>
    </row>
    <row r="52" spans="1:11" ht="15.75" thickTop="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1" x14ac:dyDescent="0.25">
      <c r="A54" s="95"/>
      <c r="B54" s="96"/>
      <c r="C54" s="97"/>
      <c r="D54" s="98"/>
      <c r="E54" s="98"/>
      <c r="F54" s="98"/>
      <c r="G54" s="98"/>
      <c r="H54" s="98"/>
      <c r="I54" s="98"/>
      <c r="J54" s="98"/>
      <c r="K54" s="99"/>
    </row>
    <row r="55" spans="1:11" x14ac:dyDescent="0.25">
      <c r="A55" s="95"/>
      <c r="B55" s="96"/>
      <c r="C55" s="97"/>
      <c r="D55" s="98"/>
      <c r="E55" s="100" t="s">
        <v>27</v>
      </c>
      <c r="F55" s="101"/>
      <c r="G55" s="101"/>
      <c r="H55" s="101"/>
      <c r="I55" s="98"/>
      <c r="J55" s="98"/>
      <c r="K55" s="99"/>
    </row>
    <row r="56" spans="1:11" x14ac:dyDescent="0.25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1" ht="15.75" thickBot="1" x14ac:dyDescent="0.3">
      <c r="A57" s="95"/>
      <c r="B57" s="96"/>
      <c r="C57" s="97"/>
      <c r="D57" s="98"/>
      <c r="E57" s="98"/>
      <c r="F57" s="98"/>
      <c r="G57" s="98"/>
      <c r="H57" s="98"/>
      <c r="I57" s="98"/>
      <c r="J57" s="98"/>
      <c r="K57" s="99"/>
    </row>
    <row r="58" spans="1:11" ht="76.5" x14ac:dyDescent="0.25">
      <c r="A58" s="102" t="s">
        <v>1</v>
      </c>
      <c r="B58" s="37" t="s">
        <v>10</v>
      </c>
      <c r="C58" s="103" t="s">
        <v>11</v>
      </c>
      <c r="D58" s="103"/>
      <c r="E58" s="103" t="s">
        <v>28</v>
      </c>
      <c r="F58" s="104" t="s">
        <v>13</v>
      </c>
      <c r="G58" s="104" t="s">
        <v>14</v>
      </c>
      <c r="H58" s="103" t="s">
        <v>15</v>
      </c>
      <c r="I58" s="227" t="s">
        <v>16</v>
      </c>
      <c r="J58" s="229" t="s">
        <v>29</v>
      </c>
      <c r="K58" s="41" t="s">
        <v>18</v>
      </c>
    </row>
    <row r="59" spans="1:11" x14ac:dyDescent="0.25">
      <c r="A59" s="105"/>
      <c r="B59" s="106"/>
      <c r="C59" s="107"/>
      <c r="D59" s="108" t="s">
        <v>19</v>
      </c>
      <c r="E59" s="107"/>
      <c r="F59" s="108"/>
      <c r="G59" s="108"/>
      <c r="H59" s="107"/>
      <c r="I59" s="228"/>
      <c r="J59" s="230"/>
      <c r="K59" s="109"/>
    </row>
    <row r="60" spans="1:11" x14ac:dyDescent="0.25">
      <c r="A60" s="110">
        <v>1</v>
      </c>
      <c r="B60" s="83">
        <v>789278</v>
      </c>
      <c r="C60" s="80">
        <v>45481</v>
      </c>
      <c r="D60" s="80" t="s">
        <v>44</v>
      </c>
      <c r="E60" s="74" t="s">
        <v>45</v>
      </c>
      <c r="F60" s="74" t="s">
        <v>106</v>
      </c>
      <c r="G60" s="74" t="s">
        <v>46</v>
      </c>
      <c r="H60" s="74" t="s">
        <v>33</v>
      </c>
      <c r="I60" s="77">
        <v>46483</v>
      </c>
      <c r="J60" s="74">
        <v>82.3292</v>
      </c>
      <c r="K60" s="111">
        <f>I60*J60</f>
        <v>3826908.2036000001</v>
      </c>
    </row>
    <row r="61" spans="1:11" x14ac:dyDescent="0.25">
      <c r="A61" s="110">
        <v>2</v>
      </c>
      <c r="B61" s="74">
        <v>802080</v>
      </c>
      <c r="C61" s="80">
        <v>45516</v>
      </c>
      <c r="D61" s="80" t="s">
        <v>136</v>
      </c>
      <c r="E61" s="74" t="s">
        <v>67</v>
      </c>
      <c r="F61" s="74" t="s">
        <v>106</v>
      </c>
      <c r="G61" s="74" t="s">
        <v>46</v>
      </c>
      <c r="H61" s="74" t="s">
        <v>33</v>
      </c>
      <c r="I61" s="77">
        <v>45688</v>
      </c>
      <c r="J61" s="74">
        <v>82.3292</v>
      </c>
      <c r="K61" s="111">
        <f t="shared" ref="K61:K84" si="0">I61*J61</f>
        <v>3761456.4896</v>
      </c>
    </row>
    <row r="62" spans="1:11" x14ac:dyDescent="0.25">
      <c r="A62" s="110">
        <v>3</v>
      </c>
      <c r="B62" s="74">
        <v>807109</v>
      </c>
      <c r="C62" s="80">
        <v>45528</v>
      </c>
      <c r="D62" s="80" t="s">
        <v>136</v>
      </c>
      <c r="E62" s="74" t="s">
        <v>67</v>
      </c>
      <c r="F62" s="74" t="s">
        <v>106</v>
      </c>
      <c r="G62" s="74" t="s">
        <v>46</v>
      </c>
      <c r="H62" s="74" t="s">
        <v>32</v>
      </c>
      <c r="I62" s="77">
        <v>45927</v>
      </c>
      <c r="J62" s="74">
        <v>83.469200000000001</v>
      </c>
      <c r="K62" s="111">
        <f t="shared" si="0"/>
        <v>3833489.9484000001</v>
      </c>
    </row>
    <row r="63" spans="1:11" x14ac:dyDescent="0.25">
      <c r="A63" s="110">
        <v>4</v>
      </c>
      <c r="B63" s="83">
        <v>811543</v>
      </c>
      <c r="C63" s="80">
        <v>45548</v>
      </c>
      <c r="D63" s="80" t="s">
        <v>136</v>
      </c>
      <c r="E63" s="74" t="s">
        <v>67</v>
      </c>
      <c r="F63" s="74" t="s">
        <v>106</v>
      </c>
      <c r="G63" s="74" t="s">
        <v>46</v>
      </c>
      <c r="H63" s="74" t="s">
        <v>33</v>
      </c>
      <c r="I63" s="77">
        <v>45598</v>
      </c>
      <c r="J63" s="74">
        <v>82.3292</v>
      </c>
      <c r="K63" s="111">
        <f t="shared" si="0"/>
        <v>3754046.8615999999</v>
      </c>
    </row>
    <row r="64" spans="1:11" x14ac:dyDescent="0.25">
      <c r="A64" s="110">
        <v>5</v>
      </c>
      <c r="B64" s="83">
        <v>821685</v>
      </c>
      <c r="C64" s="80">
        <v>45571</v>
      </c>
      <c r="D64" s="80" t="s">
        <v>146</v>
      </c>
      <c r="E64" s="74" t="s">
        <v>147</v>
      </c>
      <c r="F64" s="74" t="s">
        <v>106</v>
      </c>
      <c r="G64" s="74" t="s">
        <v>46</v>
      </c>
      <c r="H64" s="74" t="s">
        <v>32</v>
      </c>
      <c r="I64" s="77">
        <v>45905</v>
      </c>
      <c r="J64" s="74">
        <v>83.469200000000001</v>
      </c>
      <c r="K64" s="111">
        <f t="shared" si="0"/>
        <v>3831653.6260000002</v>
      </c>
    </row>
    <row r="65" spans="1:11" x14ac:dyDescent="0.25">
      <c r="A65" s="110">
        <v>6</v>
      </c>
      <c r="B65" s="83">
        <v>829745</v>
      </c>
      <c r="C65" s="80">
        <v>45591</v>
      </c>
      <c r="D65" s="80" t="s">
        <v>136</v>
      </c>
      <c r="E65" s="74" t="s">
        <v>67</v>
      </c>
      <c r="F65" s="74" t="s">
        <v>106</v>
      </c>
      <c r="G65" s="74" t="s">
        <v>46</v>
      </c>
      <c r="H65" s="74" t="s">
        <v>32</v>
      </c>
      <c r="I65" s="77">
        <v>46082</v>
      </c>
      <c r="J65" s="74">
        <v>90.019199999999998</v>
      </c>
      <c r="K65" s="111">
        <f t="shared" si="0"/>
        <v>4148264.7744</v>
      </c>
    </row>
    <row r="66" spans="1:11" x14ac:dyDescent="0.25">
      <c r="A66" s="51">
        <v>7</v>
      </c>
      <c r="B66" s="83">
        <v>838248</v>
      </c>
      <c r="C66" s="80">
        <v>45616</v>
      </c>
      <c r="D66" s="80" t="s">
        <v>146</v>
      </c>
      <c r="E66" s="74" t="s">
        <v>147</v>
      </c>
      <c r="F66" s="74" t="s">
        <v>106</v>
      </c>
      <c r="G66" s="74" t="s">
        <v>46</v>
      </c>
      <c r="H66" s="74" t="s">
        <v>32</v>
      </c>
      <c r="I66" s="77">
        <v>46204</v>
      </c>
      <c r="J66" s="74">
        <v>90.019199999999998</v>
      </c>
      <c r="K66" s="111">
        <f t="shared" si="0"/>
        <v>4159247.1168</v>
      </c>
    </row>
    <row r="67" spans="1:11" x14ac:dyDescent="0.25">
      <c r="A67" s="51">
        <v>8</v>
      </c>
      <c r="B67" s="83">
        <v>848143</v>
      </c>
      <c r="C67" s="80">
        <v>45656</v>
      </c>
      <c r="D67" s="80" t="s">
        <v>146</v>
      </c>
      <c r="E67" s="74" t="s">
        <v>147</v>
      </c>
      <c r="F67" s="74" t="s">
        <v>106</v>
      </c>
      <c r="G67" s="74" t="s">
        <v>46</v>
      </c>
      <c r="H67" s="74" t="s">
        <v>33</v>
      </c>
      <c r="I67" s="77">
        <v>46077</v>
      </c>
      <c r="J67" s="74">
        <v>90.879199999999997</v>
      </c>
      <c r="K67" s="111">
        <f t="shared" si="0"/>
        <v>4187440.8983999998</v>
      </c>
    </row>
    <row r="68" spans="1:11" x14ac:dyDescent="0.25">
      <c r="A68" s="51">
        <v>9</v>
      </c>
      <c r="B68" s="85"/>
      <c r="C68" s="86"/>
      <c r="D68" s="80"/>
      <c r="E68" s="74"/>
      <c r="F68" s="74" t="s">
        <v>106</v>
      </c>
      <c r="G68" s="74"/>
      <c r="H68" s="74"/>
      <c r="I68" s="87"/>
      <c r="J68" s="85"/>
      <c r="K68" s="111">
        <f t="shared" si="0"/>
        <v>0</v>
      </c>
    </row>
    <row r="69" spans="1:11" x14ac:dyDescent="0.25">
      <c r="A69" s="51">
        <v>10</v>
      </c>
      <c r="B69" s="74"/>
      <c r="C69" s="80"/>
      <c r="D69" s="80"/>
      <c r="E69" s="74"/>
      <c r="F69" s="74" t="s">
        <v>106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51">
        <v>11</v>
      </c>
      <c r="B70" s="74"/>
      <c r="C70" s="80"/>
      <c r="D70" s="80"/>
      <c r="E70" s="74"/>
      <c r="F70" s="74" t="s">
        <v>106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51">
        <v>12</v>
      </c>
      <c r="B71" s="74"/>
      <c r="C71" s="80"/>
      <c r="D71" s="80"/>
      <c r="F71" s="74" t="s">
        <v>106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51">
        <v>13</v>
      </c>
      <c r="B72" s="74"/>
      <c r="C72" s="80"/>
      <c r="D72" s="80"/>
      <c r="E72" s="74"/>
      <c r="F72" s="74" t="s">
        <v>106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51">
        <v>14</v>
      </c>
      <c r="B73" s="74"/>
      <c r="C73" s="80"/>
      <c r="D73" s="80"/>
      <c r="E73" s="74"/>
      <c r="F73" s="74" t="s">
        <v>106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51">
        <v>15</v>
      </c>
      <c r="B74" s="74"/>
      <c r="C74" s="80"/>
      <c r="D74" s="80"/>
      <c r="E74" s="74"/>
      <c r="F74" s="74" t="s">
        <v>106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51">
        <v>16</v>
      </c>
      <c r="B75" s="74"/>
      <c r="C75" s="80"/>
      <c r="D75" s="80"/>
      <c r="E75" s="74"/>
      <c r="F75" s="74" t="s">
        <v>106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51">
        <v>17</v>
      </c>
      <c r="B76" s="74"/>
      <c r="C76" s="80"/>
      <c r="D76" s="80"/>
      <c r="E76" s="74"/>
      <c r="F76" s="74" t="s">
        <v>106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51">
        <v>18</v>
      </c>
      <c r="B77" s="133"/>
      <c r="C77" s="80"/>
      <c r="D77" s="80"/>
      <c r="E77" s="74"/>
      <c r="F77" s="74" t="s">
        <v>106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51">
        <v>19</v>
      </c>
      <c r="B78" s="74"/>
      <c r="C78" s="80"/>
      <c r="D78" s="80"/>
      <c r="E78" s="74"/>
      <c r="F78" s="74" t="s">
        <v>106</v>
      </c>
      <c r="G78" s="74"/>
      <c r="H78" s="74"/>
      <c r="I78" s="77"/>
      <c r="J78" s="74"/>
      <c r="K78" s="111">
        <f t="shared" si="0"/>
        <v>0</v>
      </c>
    </row>
    <row r="79" spans="1:11" x14ac:dyDescent="0.25">
      <c r="A79" s="51">
        <v>20</v>
      </c>
      <c r="B79" s="74"/>
      <c r="C79" s="80"/>
      <c r="D79" s="80"/>
      <c r="E79" s="74"/>
      <c r="F79" s="74" t="s">
        <v>106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51">
        <v>21</v>
      </c>
      <c r="B80" s="74"/>
      <c r="C80" s="80"/>
      <c r="D80" s="80"/>
      <c r="E80" s="74"/>
      <c r="F80" s="74" t="s">
        <v>106</v>
      </c>
      <c r="G80" s="74"/>
      <c r="H80" s="74"/>
      <c r="I80" s="134"/>
      <c r="J80" s="74"/>
      <c r="K80" s="111">
        <f t="shared" si="0"/>
        <v>0</v>
      </c>
    </row>
    <row r="81" spans="1:11" x14ac:dyDescent="0.25">
      <c r="A81" s="51">
        <v>22</v>
      </c>
      <c r="B81" s="74"/>
      <c r="C81" s="80"/>
      <c r="D81" s="80"/>
      <c r="E81" s="74"/>
      <c r="F81" s="74" t="s">
        <v>106</v>
      </c>
      <c r="G81" s="74"/>
      <c r="H81" s="74"/>
      <c r="I81" s="134"/>
      <c r="J81" s="74"/>
      <c r="K81" s="111">
        <f t="shared" si="0"/>
        <v>0</v>
      </c>
    </row>
    <row r="82" spans="1:11" x14ac:dyDescent="0.25">
      <c r="A82" s="51">
        <v>23</v>
      </c>
      <c r="B82" s="74"/>
      <c r="C82" s="80"/>
      <c r="D82" s="80"/>
      <c r="E82" s="74"/>
      <c r="F82" s="74" t="s">
        <v>106</v>
      </c>
      <c r="G82" s="74"/>
      <c r="H82" s="74"/>
      <c r="I82" s="134"/>
      <c r="J82" s="74"/>
      <c r="K82" s="111">
        <f t="shared" si="0"/>
        <v>0</v>
      </c>
    </row>
    <row r="83" spans="1:11" x14ac:dyDescent="0.25">
      <c r="A83" s="51">
        <v>24</v>
      </c>
      <c r="B83" s="74"/>
      <c r="C83" s="80"/>
      <c r="D83" s="80"/>
      <c r="E83" s="74"/>
      <c r="F83" s="74" t="s">
        <v>106</v>
      </c>
      <c r="G83" s="74"/>
      <c r="H83" s="74"/>
      <c r="I83" s="134"/>
      <c r="J83" s="74"/>
      <c r="K83" s="111">
        <f t="shared" si="0"/>
        <v>0</v>
      </c>
    </row>
    <row r="84" spans="1:11" x14ac:dyDescent="0.25">
      <c r="A84" s="51">
        <v>25</v>
      </c>
      <c r="B84" s="74"/>
      <c r="C84" s="80"/>
      <c r="D84" s="80"/>
      <c r="E84" s="74"/>
      <c r="F84" s="74" t="s">
        <v>106</v>
      </c>
      <c r="G84" s="74"/>
      <c r="H84" s="74"/>
      <c r="I84" s="134"/>
      <c r="J84" s="74"/>
      <c r="K84" s="111">
        <f t="shared" si="0"/>
        <v>0</v>
      </c>
    </row>
    <row r="85" spans="1:11" x14ac:dyDescent="0.25">
      <c r="A85" s="51">
        <v>26</v>
      </c>
      <c r="B85" s="112"/>
      <c r="C85" s="113"/>
      <c r="D85" s="112"/>
      <c r="E85" s="112"/>
      <c r="F85" s="74" t="s">
        <v>106</v>
      </c>
      <c r="G85" s="135"/>
      <c r="H85" s="85"/>
      <c r="I85" s="136"/>
      <c r="J85" s="85"/>
      <c r="K85" s="114"/>
    </row>
    <row r="86" spans="1:11" x14ac:dyDescent="0.25">
      <c r="A86" s="243" t="s">
        <v>37</v>
      </c>
      <c r="B86" s="244"/>
      <c r="C86" s="244"/>
      <c r="D86" s="244"/>
      <c r="E86" s="245"/>
      <c r="F86" s="117"/>
      <c r="G86" s="117"/>
      <c r="H86" s="117"/>
      <c r="I86" s="118"/>
      <c r="J86" s="119"/>
      <c r="K86" s="120">
        <f>SUM(K60:K85)</f>
        <v>31502507.9188</v>
      </c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ht="15.75" thickBot="1" x14ac:dyDescent="0.3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ht="16.5" thickTop="1" thickBot="1" x14ac:dyDescent="0.3">
      <c r="A89" s="72"/>
      <c r="B89" s="72"/>
      <c r="C89" s="72"/>
      <c r="D89" s="72"/>
      <c r="E89" s="121" t="s">
        <v>38</v>
      </c>
      <c r="F89" s="121"/>
      <c r="G89" s="121"/>
      <c r="H89" s="122"/>
      <c r="I89" s="122"/>
      <c r="J89" s="122"/>
      <c r="K89" s="123">
        <f>K86</f>
        <v>31502507.9188</v>
      </c>
    </row>
    <row r="90" spans="1:11" ht="16.5" thickTop="1" thickBot="1" x14ac:dyDescent="0.3">
      <c r="A90" s="72"/>
      <c r="B90" s="72"/>
      <c r="C90" s="72"/>
      <c r="D90" s="72"/>
      <c r="E90" s="33"/>
      <c r="F90" s="33"/>
      <c r="G90" s="33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40</v>
      </c>
      <c r="F91" s="121"/>
      <c r="G91" s="121"/>
      <c r="H91" s="122"/>
      <c r="I91" s="122"/>
      <c r="J91" s="122"/>
      <c r="K91" s="124">
        <f>K51-K89</f>
        <v>4419346.7212000005</v>
      </c>
    </row>
    <row r="92" spans="1:11" ht="15.75" thickTop="1" x14ac:dyDescent="0.25">
      <c r="A92" s="72"/>
      <c r="B92" s="72"/>
      <c r="C92" s="72"/>
      <c r="D92" s="72"/>
    </row>
    <row r="93" spans="1:11" x14ac:dyDescent="0.25">
      <c r="A93" s="72"/>
      <c r="B93" s="72"/>
      <c r="C93" s="72"/>
      <c r="D93" s="72"/>
    </row>
    <row r="94" spans="1:11" x14ac:dyDescent="0.25">
      <c r="A94" s="72"/>
      <c r="B94" s="72"/>
      <c r="C94" s="72"/>
      <c r="D94" s="72"/>
    </row>
  </sheetData>
  <mergeCells count="8">
    <mergeCell ref="A86:E86"/>
    <mergeCell ref="E4:J4"/>
    <mergeCell ref="E6:J6"/>
    <mergeCell ref="E8:J8"/>
    <mergeCell ref="E47:J47"/>
    <mergeCell ref="E51:J51"/>
    <mergeCell ref="I58:I59"/>
    <mergeCell ref="J58:J59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K95"/>
  <sheetViews>
    <sheetView topLeftCell="A67" workbookViewId="0">
      <selection activeCell="H68" sqref="H68"/>
    </sheetView>
  </sheetViews>
  <sheetFormatPr defaultRowHeight="15" x14ac:dyDescent="0.25"/>
  <cols>
    <col min="1" max="1" width="3.7109375" customWidth="1"/>
    <col min="2" max="2" width="7.42578125" customWidth="1"/>
    <col min="3" max="3" width="8.85546875" customWidth="1"/>
    <col min="4" max="4" width="16" customWidth="1"/>
    <col min="5" max="5" width="13" customWidth="1"/>
    <col min="6" max="6" width="7.5703125" customWidth="1"/>
    <col min="7" max="7" width="9.42578125" customWidth="1"/>
    <col min="8" max="8" width="4.5703125" customWidth="1"/>
    <col min="9" max="9" width="10.5703125" bestFit="1" customWidth="1"/>
    <col min="10" max="10" width="6.5703125" customWidth="1"/>
    <col min="11" max="11" width="13.4257812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8.5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74"/>
      <c r="B5" s="74"/>
      <c r="C5" s="74"/>
      <c r="D5" s="74"/>
      <c r="E5" s="74" t="s">
        <v>66</v>
      </c>
      <c r="F5" s="74"/>
      <c r="G5" s="74"/>
      <c r="H5" s="74"/>
      <c r="I5" s="74"/>
      <c r="J5" s="74"/>
      <c r="K5" s="140">
        <v>2991274.83</v>
      </c>
    </row>
    <row r="6" spans="1:11" x14ac:dyDescent="0.25">
      <c r="A6" s="88">
        <v>1</v>
      </c>
      <c r="B6" s="80">
        <v>45498</v>
      </c>
      <c r="C6" s="74" t="s">
        <v>25</v>
      </c>
      <c r="D6" s="76" t="s">
        <v>88</v>
      </c>
      <c r="E6" s="232" t="s">
        <v>78</v>
      </c>
      <c r="F6" s="232"/>
      <c r="G6" s="232"/>
      <c r="H6" s="232"/>
      <c r="I6" s="232"/>
      <c r="J6" s="232"/>
      <c r="K6" s="77">
        <v>6165120</v>
      </c>
    </row>
    <row r="7" spans="1:11" x14ac:dyDescent="0.25">
      <c r="A7" s="85">
        <v>2</v>
      </c>
      <c r="B7" s="86">
        <v>45509</v>
      </c>
      <c r="C7" s="74" t="s">
        <v>25</v>
      </c>
      <c r="D7" s="76" t="s">
        <v>117</v>
      </c>
      <c r="E7" s="232" t="s">
        <v>78</v>
      </c>
      <c r="F7" s="232"/>
      <c r="G7" s="232"/>
      <c r="H7" s="232"/>
      <c r="I7" s="232"/>
      <c r="J7" s="232"/>
      <c r="K7" s="87">
        <v>3082560</v>
      </c>
    </row>
    <row r="8" spans="1:11" x14ac:dyDescent="0.25">
      <c r="A8" s="88">
        <v>2</v>
      </c>
      <c r="B8" s="80"/>
      <c r="C8" s="74"/>
      <c r="D8" s="76"/>
      <c r="E8" s="232"/>
      <c r="F8" s="232"/>
      <c r="G8" s="232"/>
      <c r="H8" s="232"/>
      <c r="I8" s="232"/>
      <c r="J8" s="232"/>
      <c r="K8" s="77"/>
    </row>
    <row r="9" spans="1:11" x14ac:dyDescent="0.25">
      <c r="A9" s="88">
        <v>3</v>
      </c>
      <c r="B9" s="80"/>
      <c r="C9" s="74"/>
      <c r="D9" s="76"/>
      <c r="E9" s="76"/>
      <c r="F9" s="76"/>
      <c r="G9" s="76"/>
      <c r="H9" s="76"/>
      <c r="I9" s="76"/>
      <c r="J9" s="76"/>
      <c r="K9" s="77"/>
    </row>
    <row r="10" spans="1:11" x14ac:dyDescent="0.25">
      <c r="A10" s="88">
        <v>4</v>
      </c>
      <c r="B10" s="80"/>
      <c r="C10" s="74"/>
      <c r="D10" s="76"/>
      <c r="E10" s="76"/>
      <c r="F10" s="76"/>
      <c r="G10" s="76"/>
      <c r="H10" s="76"/>
      <c r="I10" s="76"/>
      <c r="J10" s="76"/>
      <c r="K10" s="77"/>
    </row>
    <row r="11" spans="1:11" x14ac:dyDescent="0.25">
      <c r="A11" s="88">
        <v>5</v>
      </c>
      <c r="B11" s="80"/>
      <c r="C11" s="74"/>
      <c r="D11" s="76"/>
      <c r="E11" s="76"/>
      <c r="F11" s="76"/>
      <c r="G11" s="76"/>
      <c r="H11" s="76"/>
      <c r="I11" s="76"/>
      <c r="J11" s="76"/>
      <c r="K11" s="77"/>
    </row>
    <row r="12" spans="1:11" x14ac:dyDescent="0.25">
      <c r="A12" s="125">
        <v>6</v>
      </c>
      <c r="B12" s="75"/>
      <c r="C12" s="151"/>
      <c r="D12" s="138"/>
      <c r="E12" s="146"/>
      <c r="F12" s="147"/>
      <c r="G12" s="147"/>
      <c r="H12" s="147"/>
      <c r="I12" s="147"/>
      <c r="J12" s="148"/>
      <c r="K12" s="139"/>
    </row>
    <row r="13" spans="1:11" x14ac:dyDescent="0.25">
      <c r="A13" s="125">
        <v>7</v>
      </c>
      <c r="B13" s="75"/>
      <c r="C13" s="78"/>
      <c r="D13" s="76"/>
      <c r="E13" s="126"/>
      <c r="F13" s="127"/>
      <c r="G13" s="127"/>
      <c r="H13" s="127"/>
      <c r="I13" s="127"/>
      <c r="J13" s="128"/>
      <c r="K13" s="77"/>
    </row>
    <row r="14" spans="1:11" x14ac:dyDescent="0.25">
      <c r="A14" s="88">
        <v>8</v>
      </c>
      <c r="B14" s="75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1" x14ac:dyDescent="0.25">
      <c r="A15" s="125">
        <v>9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1" x14ac:dyDescent="0.25">
      <c r="A16" s="125">
        <v>10</v>
      </c>
      <c r="B16" s="80"/>
      <c r="C16" s="78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11</v>
      </c>
      <c r="B17" s="72"/>
      <c r="C17" s="77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12</v>
      </c>
      <c r="B18" s="80"/>
      <c r="C18" s="72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13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14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15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16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17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18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19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20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21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22</v>
      </c>
      <c r="B28" s="80"/>
      <c r="C28" s="77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23</v>
      </c>
      <c r="B29" s="80"/>
      <c r="C29" s="129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24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25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26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27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28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29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30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31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32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33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34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35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36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37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38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39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40</v>
      </c>
      <c r="B46" s="80"/>
      <c r="C46" s="77"/>
      <c r="D46" s="76"/>
      <c r="E46" s="126"/>
      <c r="F46" s="127"/>
      <c r="G46" s="127"/>
      <c r="H46" s="127"/>
      <c r="I46" s="127"/>
      <c r="J46" s="128"/>
      <c r="K46" s="77"/>
    </row>
    <row r="47" spans="1:11" x14ac:dyDescent="0.25">
      <c r="A47" s="84">
        <v>41</v>
      </c>
      <c r="B47" s="93"/>
      <c r="C47" s="90"/>
      <c r="D47" s="76"/>
      <c r="E47" s="236"/>
      <c r="F47" s="237"/>
      <c r="G47" s="237"/>
      <c r="H47" s="237"/>
      <c r="I47" s="237"/>
      <c r="J47" s="238"/>
      <c r="K47" s="77"/>
    </row>
    <row r="48" spans="1:11" x14ac:dyDescent="0.25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</row>
    <row r="49" spans="1:11" x14ac:dyDescent="0.25">
      <c r="A49" s="88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1" x14ac:dyDescent="0.25">
      <c r="A50" s="88"/>
      <c r="B50" s="93"/>
      <c r="C50" s="90"/>
      <c r="D50" s="76"/>
      <c r="E50" s="76"/>
      <c r="F50" s="76"/>
      <c r="G50" s="76"/>
      <c r="H50" s="76"/>
      <c r="I50" s="76"/>
      <c r="J50" s="76"/>
      <c r="K50" s="92"/>
    </row>
    <row r="51" spans="1:11" ht="15.75" thickBot="1" x14ac:dyDescent="0.3">
      <c r="A51" s="84"/>
      <c r="B51" s="94"/>
      <c r="C51" s="85"/>
      <c r="D51" s="85"/>
      <c r="E51" s="246" t="s">
        <v>26</v>
      </c>
      <c r="F51" s="247"/>
      <c r="G51" s="247"/>
      <c r="H51" s="247"/>
      <c r="I51" s="247"/>
      <c r="J51" s="248"/>
      <c r="K51" s="130">
        <f>SUM(K5:K47)</f>
        <v>12238954.83</v>
      </c>
    </row>
    <row r="52" spans="1:11" ht="15.75" thickTop="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1" x14ac:dyDescent="0.25">
      <c r="A54" s="95"/>
      <c r="B54" s="96"/>
      <c r="C54" s="97"/>
      <c r="D54" s="98"/>
      <c r="E54" s="98"/>
      <c r="F54" s="98"/>
      <c r="G54" s="98"/>
      <c r="H54" s="98"/>
      <c r="I54" s="98"/>
      <c r="J54" s="98"/>
      <c r="K54" s="99"/>
    </row>
    <row r="55" spans="1:11" x14ac:dyDescent="0.25">
      <c r="A55" s="95"/>
      <c r="B55" s="96"/>
      <c r="C55" s="97"/>
      <c r="D55" s="98"/>
      <c r="E55" s="100" t="s">
        <v>27</v>
      </c>
      <c r="F55" s="101"/>
      <c r="G55" s="101"/>
      <c r="H55" s="101"/>
      <c r="I55" s="98"/>
      <c r="J55" s="98"/>
      <c r="K55" s="99"/>
    </row>
    <row r="56" spans="1:11" x14ac:dyDescent="0.25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1" ht="15.75" thickBot="1" x14ac:dyDescent="0.3">
      <c r="A57" s="95"/>
      <c r="B57" s="96"/>
      <c r="C57" s="97"/>
      <c r="D57" s="98"/>
      <c r="E57" s="98"/>
      <c r="F57" s="98"/>
      <c r="G57" s="98"/>
      <c r="H57" s="98"/>
      <c r="I57" s="98"/>
      <c r="J57" s="98"/>
      <c r="K57" s="99"/>
    </row>
    <row r="58" spans="1:11" ht="76.5" x14ac:dyDescent="0.25">
      <c r="A58" s="102" t="s">
        <v>1</v>
      </c>
      <c r="B58" s="37" t="s">
        <v>10</v>
      </c>
      <c r="C58" s="103" t="s">
        <v>11</v>
      </c>
      <c r="D58" s="103"/>
      <c r="E58" s="103" t="s">
        <v>28</v>
      </c>
      <c r="F58" s="104" t="s">
        <v>13</v>
      </c>
      <c r="G58" s="104" t="s">
        <v>14</v>
      </c>
      <c r="H58" s="103" t="s">
        <v>15</v>
      </c>
      <c r="I58" s="227" t="s">
        <v>16</v>
      </c>
      <c r="J58" s="229" t="s">
        <v>29</v>
      </c>
      <c r="K58" s="41" t="s">
        <v>18</v>
      </c>
    </row>
    <row r="59" spans="1:11" x14ac:dyDescent="0.25">
      <c r="A59" s="105"/>
      <c r="B59" s="106"/>
      <c r="C59" s="107"/>
      <c r="D59" s="108" t="s">
        <v>19</v>
      </c>
      <c r="E59" s="107"/>
      <c r="F59" s="108"/>
      <c r="G59" s="108"/>
      <c r="H59" s="107"/>
      <c r="I59" s="228"/>
      <c r="J59" s="230"/>
      <c r="K59" s="109"/>
    </row>
    <row r="60" spans="1:11" x14ac:dyDescent="0.25">
      <c r="A60" s="110">
        <v>1</v>
      </c>
      <c r="B60" s="83">
        <v>786564</v>
      </c>
      <c r="C60" s="80">
        <v>45487</v>
      </c>
      <c r="D60" s="80" t="s">
        <v>34</v>
      </c>
      <c r="E60" s="74" t="s">
        <v>67</v>
      </c>
      <c r="F60" s="74" t="s">
        <v>30</v>
      </c>
      <c r="G60" s="74" t="s">
        <v>94</v>
      </c>
      <c r="H60" s="74" t="s">
        <v>57</v>
      </c>
      <c r="I60" s="77">
        <v>45946</v>
      </c>
      <c r="J60" s="74">
        <v>64.31</v>
      </c>
      <c r="K60" s="111">
        <f>I60*J60</f>
        <v>2954787.2600000002</v>
      </c>
    </row>
    <row r="61" spans="1:11" x14ac:dyDescent="0.25">
      <c r="A61" s="110">
        <v>2</v>
      </c>
      <c r="B61" s="74">
        <v>796916</v>
      </c>
      <c r="C61" s="80">
        <v>45501</v>
      </c>
      <c r="D61" s="80" t="s">
        <v>92</v>
      </c>
      <c r="E61" t="s">
        <v>93</v>
      </c>
      <c r="F61" s="74" t="s">
        <v>30</v>
      </c>
      <c r="G61" s="74" t="s">
        <v>94</v>
      </c>
      <c r="H61" s="74" t="s">
        <v>57</v>
      </c>
      <c r="I61" s="131">
        <v>45961</v>
      </c>
      <c r="J61">
        <v>64.31</v>
      </c>
      <c r="K61" s="111">
        <f t="shared" ref="K61:K85" si="0">I61*J61</f>
        <v>2955751.91</v>
      </c>
    </row>
    <row r="62" spans="1:11" x14ac:dyDescent="0.25">
      <c r="A62" s="110">
        <v>3</v>
      </c>
      <c r="B62" s="74">
        <v>801261</v>
      </c>
      <c r="C62" s="80">
        <v>45512</v>
      </c>
      <c r="D62" s="80" t="s">
        <v>120</v>
      </c>
      <c r="E62" s="74" t="s">
        <v>72</v>
      </c>
      <c r="F62" s="74" t="s">
        <v>30</v>
      </c>
      <c r="G62" s="74" t="s">
        <v>94</v>
      </c>
      <c r="H62" s="74" t="s">
        <v>57</v>
      </c>
      <c r="I62" s="77">
        <v>45771</v>
      </c>
      <c r="J62" s="74">
        <v>64.31</v>
      </c>
      <c r="K62" s="111">
        <f t="shared" si="0"/>
        <v>2943533.0100000002</v>
      </c>
    </row>
    <row r="63" spans="1:11" x14ac:dyDescent="0.25">
      <c r="A63" s="110">
        <v>4</v>
      </c>
      <c r="B63" s="83">
        <v>816619</v>
      </c>
      <c r="C63" s="80">
        <v>45555</v>
      </c>
      <c r="D63" s="80" t="s">
        <v>146</v>
      </c>
      <c r="E63" s="74" t="s">
        <v>199</v>
      </c>
      <c r="F63" s="74" t="s">
        <v>30</v>
      </c>
      <c r="G63" s="74" t="s">
        <v>94</v>
      </c>
      <c r="H63" s="74" t="s">
        <v>57</v>
      </c>
      <c r="I63" s="77">
        <v>46036</v>
      </c>
      <c r="J63" s="74">
        <v>64.31</v>
      </c>
      <c r="K63" s="111">
        <f t="shared" si="0"/>
        <v>2960575.16</v>
      </c>
    </row>
    <row r="64" spans="1:11" x14ac:dyDescent="0.25">
      <c r="A64" s="110">
        <v>5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>
        <f t="shared" si="0"/>
        <v>0</v>
      </c>
    </row>
    <row r="65" spans="1:11" x14ac:dyDescent="0.25">
      <c r="A65" s="110">
        <v>6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>
        <f t="shared" si="0"/>
        <v>0</v>
      </c>
    </row>
    <row r="66" spans="1:11" x14ac:dyDescent="0.25">
      <c r="A66" s="167">
        <v>7</v>
      </c>
      <c r="B66" s="83"/>
      <c r="C66" s="80"/>
      <c r="D66" s="80"/>
      <c r="E66" s="74"/>
      <c r="F66" s="74" t="s">
        <v>30</v>
      </c>
      <c r="G66" s="135"/>
      <c r="H66" s="74"/>
      <c r="I66" s="77"/>
      <c r="J66" s="74"/>
      <c r="K66" s="111">
        <f t="shared" si="0"/>
        <v>0</v>
      </c>
    </row>
    <row r="67" spans="1:11" x14ac:dyDescent="0.25">
      <c r="A67" s="167">
        <v>8</v>
      </c>
      <c r="B67" s="83"/>
      <c r="C67" s="80"/>
      <c r="D67" s="80"/>
      <c r="E67" s="74"/>
      <c r="F67" s="74" t="s">
        <v>30</v>
      </c>
      <c r="G67" s="74"/>
      <c r="H67" s="74"/>
      <c r="I67" s="77"/>
      <c r="J67" s="74"/>
      <c r="K67" s="111">
        <f t="shared" si="0"/>
        <v>0</v>
      </c>
    </row>
    <row r="68" spans="1:11" x14ac:dyDescent="0.25">
      <c r="A68" s="167">
        <v>9</v>
      </c>
      <c r="B68" s="85"/>
      <c r="C68" s="86"/>
      <c r="D68" s="80"/>
      <c r="E68" s="74"/>
      <c r="F68" s="74" t="s">
        <v>30</v>
      </c>
      <c r="G68" s="74"/>
      <c r="H68" s="74"/>
      <c r="I68" s="87"/>
      <c r="J68" s="85"/>
      <c r="K68" s="111">
        <f t="shared" si="0"/>
        <v>0</v>
      </c>
    </row>
    <row r="69" spans="1:11" x14ac:dyDescent="0.25">
      <c r="A69" s="167">
        <v>10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167">
        <v>11</v>
      </c>
      <c r="B70" s="74"/>
      <c r="C70" s="80"/>
      <c r="D70" s="80"/>
      <c r="E70" s="74"/>
      <c r="F70" s="74" t="s">
        <v>30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167">
        <v>12</v>
      </c>
      <c r="B71" s="74"/>
      <c r="C71" s="80"/>
      <c r="D71" s="80"/>
      <c r="F71" s="74" t="s">
        <v>30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167">
        <v>13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167">
        <v>14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167">
        <v>15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167">
        <v>16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167">
        <v>17</v>
      </c>
      <c r="B76" s="74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167">
        <v>18</v>
      </c>
      <c r="B77" s="133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167">
        <v>19</v>
      </c>
      <c r="B78" s="74"/>
      <c r="C78" s="80"/>
      <c r="D78" s="80"/>
      <c r="E78" s="74"/>
      <c r="F78" s="74" t="s">
        <v>30</v>
      </c>
      <c r="G78" s="74"/>
      <c r="H78" s="74"/>
      <c r="I78" s="77"/>
      <c r="J78" s="74"/>
      <c r="K78" s="111">
        <f t="shared" si="0"/>
        <v>0</v>
      </c>
    </row>
    <row r="79" spans="1:11" x14ac:dyDescent="0.25">
      <c r="A79" s="167">
        <v>20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167">
        <v>21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0"/>
        <v>0</v>
      </c>
    </row>
    <row r="81" spans="1:11" x14ac:dyDescent="0.25">
      <c r="A81" s="167">
        <v>22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0"/>
        <v>0</v>
      </c>
    </row>
    <row r="82" spans="1:11" x14ac:dyDescent="0.25">
      <c r="A82" s="167">
        <v>23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0"/>
        <v>0</v>
      </c>
    </row>
    <row r="83" spans="1:11" x14ac:dyDescent="0.25">
      <c r="A83" s="167">
        <v>24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>
        <f t="shared" si="0"/>
        <v>0</v>
      </c>
    </row>
    <row r="84" spans="1:11" x14ac:dyDescent="0.25">
      <c r="A84" s="167">
        <v>25</v>
      </c>
      <c r="B84" s="74"/>
      <c r="C84" s="80"/>
      <c r="D84" s="80"/>
      <c r="E84" s="74"/>
      <c r="F84" s="74" t="s">
        <v>30</v>
      </c>
      <c r="G84" s="74"/>
      <c r="H84" s="74"/>
      <c r="I84" s="134"/>
      <c r="J84" s="74"/>
      <c r="K84" s="111">
        <f t="shared" si="0"/>
        <v>0</v>
      </c>
    </row>
    <row r="85" spans="1:11" x14ac:dyDescent="0.25">
      <c r="A85" s="167">
        <v>26</v>
      </c>
      <c r="B85" s="112"/>
      <c r="C85" s="113"/>
      <c r="D85" s="112"/>
      <c r="E85" s="112"/>
      <c r="F85" s="74" t="s">
        <v>30</v>
      </c>
      <c r="G85" s="135"/>
      <c r="H85" s="85"/>
      <c r="I85" s="136"/>
      <c r="J85" s="85"/>
      <c r="K85" s="111">
        <f t="shared" si="0"/>
        <v>0</v>
      </c>
    </row>
    <row r="86" spans="1:11" x14ac:dyDescent="0.25">
      <c r="A86" s="231" t="s">
        <v>37</v>
      </c>
      <c r="B86" s="231"/>
      <c r="C86" s="231"/>
      <c r="D86" s="231"/>
      <c r="E86" s="231"/>
      <c r="F86" s="117"/>
      <c r="G86" s="117"/>
      <c r="H86" s="117"/>
      <c r="I86" s="118"/>
      <c r="J86" s="119"/>
      <c r="K86" s="120">
        <f>SUM(K60:K85)</f>
        <v>11814647.34</v>
      </c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5.75" thickBo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</row>
    <row r="92" spans="1:11" ht="16.5" thickTop="1" thickBot="1" x14ac:dyDescent="0.3">
      <c r="A92" s="72"/>
      <c r="B92" s="72"/>
      <c r="C92" s="72"/>
      <c r="D92" s="72"/>
      <c r="E92" s="121" t="s">
        <v>38</v>
      </c>
      <c r="F92" s="121"/>
      <c r="G92" s="121"/>
      <c r="H92" s="122"/>
      <c r="I92" s="122"/>
      <c r="J92" s="122"/>
      <c r="K92" s="123">
        <f>K86</f>
        <v>11814647.34</v>
      </c>
    </row>
    <row r="93" spans="1:11" ht="16.5" thickTop="1" thickBot="1" x14ac:dyDescent="0.3">
      <c r="A93" s="72"/>
      <c r="B93" s="72"/>
      <c r="C93" s="72"/>
      <c r="D93" s="72"/>
      <c r="E93" s="33"/>
      <c r="F93" s="33"/>
      <c r="G93" s="33"/>
      <c r="H93" s="72"/>
      <c r="I93" s="72"/>
      <c r="J93" s="72"/>
      <c r="K93" s="72"/>
    </row>
    <row r="94" spans="1:11" ht="16.5" thickTop="1" thickBot="1" x14ac:dyDescent="0.3">
      <c r="A94" s="72"/>
      <c r="B94" s="72"/>
      <c r="C94" s="72"/>
      <c r="D94" s="72"/>
      <c r="E94" s="121" t="s">
        <v>40</v>
      </c>
      <c r="F94" s="121"/>
      <c r="G94" s="121"/>
      <c r="H94" s="122"/>
      <c r="I94" s="122"/>
      <c r="J94" s="122"/>
      <c r="K94" s="124">
        <f>K51-K92</f>
        <v>424307.49000000022</v>
      </c>
    </row>
    <row r="95" spans="1:11" ht="15.75" thickTop="1" x14ac:dyDescent="0.25"/>
  </sheetData>
  <mergeCells count="9">
    <mergeCell ref="A86:E86"/>
    <mergeCell ref="E4:J4"/>
    <mergeCell ref="E6:J6"/>
    <mergeCell ref="E8:J8"/>
    <mergeCell ref="E47:J47"/>
    <mergeCell ref="E51:J51"/>
    <mergeCell ref="I58:I59"/>
    <mergeCell ref="J58:J59"/>
    <mergeCell ref="E7:J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98"/>
  <sheetViews>
    <sheetView topLeftCell="A67" workbookViewId="0">
      <selection activeCell="E32" sqref="E32"/>
    </sheetView>
  </sheetViews>
  <sheetFormatPr defaultRowHeight="15" x14ac:dyDescent="0.25"/>
  <cols>
    <col min="1" max="1" width="2.85546875" customWidth="1"/>
    <col min="3" max="3" width="10" customWidth="1"/>
    <col min="4" max="4" width="14.28515625" customWidth="1"/>
    <col min="5" max="5" width="14" customWidth="1"/>
    <col min="7" max="7" width="15.85546875" customWidth="1"/>
    <col min="8" max="8" width="4.85546875" customWidth="1"/>
    <col min="9" max="9" width="13.28515625" bestFit="1" customWidth="1"/>
    <col min="11" max="11" width="15" customWidth="1"/>
    <col min="12" max="12" width="13.7109375" customWidth="1"/>
    <col min="13" max="13" width="8.7109375" customWidth="1"/>
    <col min="14" max="14" width="16.85546875" customWidth="1"/>
    <col min="15" max="15" width="13.140625" customWidth="1"/>
  </cols>
  <sheetData>
    <row r="1" spans="1:15" ht="20.25" thickBot="1" x14ac:dyDescent="0.35">
      <c r="F1" s="152" t="s">
        <v>68</v>
      </c>
      <c r="G1" s="152"/>
      <c r="H1" s="152" t="s">
        <v>69</v>
      </c>
    </row>
    <row r="2" spans="1:15" ht="24" thickTop="1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5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5" x14ac:dyDescent="0.25">
      <c r="A4" s="190" t="s">
        <v>1</v>
      </c>
      <c r="B4" s="190" t="s">
        <v>0</v>
      </c>
      <c r="C4" s="144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  <c r="L4" s="177" t="s">
        <v>166</v>
      </c>
      <c r="M4" s="177" t="s">
        <v>167</v>
      </c>
      <c r="N4" s="177" t="s">
        <v>168</v>
      </c>
      <c r="O4" s="177" t="s">
        <v>169</v>
      </c>
    </row>
    <row r="5" spans="1:15" x14ac:dyDescent="0.25">
      <c r="A5" s="74"/>
      <c r="B5" s="74"/>
      <c r="C5" s="74"/>
      <c r="E5" t="s">
        <v>70</v>
      </c>
      <c r="K5" s="140">
        <v>6795274.0899999999</v>
      </c>
      <c r="L5" s="165">
        <v>3866</v>
      </c>
      <c r="M5">
        <v>64.95</v>
      </c>
      <c r="N5" s="175">
        <f>L5*M5</f>
        <v>251096.7</v>
      </c>
      <c r="O5" t="s">
        <v>170</v>
      </c>
    </row>
    <row r="6" spans="1:15" x14ac:dyDescent="0.25">
      <c r="A6" s="125">
        <v>1</v>
      </c>
      <c r="B6" s="86">
        <v>45600</v>
      </c>
      <c r="C6" s="86" t="s">
        <v>248</v>
      </c>
      <c r="D6" s="76" t="s">
        <v>247</v>
      </c>
      <c r="E6" s="232" t="s">
        <v>246</v>
      </c>
      <c r="F6" s="232"/>
      <c r="G6" s="232"/>
      <c r="H6" s="232"/>
      <c r="I6" s="232"/>
      <c r="J6" s="232"/>
      <c r="K6" s="77">
        <v>10000000</v>
      </c>
      <c r="L6" s="165">
        <v>4087</v>
      </c>
      <c r="M6">
        <v>64.95</v>
      </c>
      <c r="N6" s="175">
        <f t="shared" ref="N6:N9" si="0">L6*M6</f>
        <v>265450.65000000002</v>
      </c>
      <c r="O6" t="s">
        <v>171</v>
      </c>
    </row>
    <row r="7" spans="1:15" x14ac:dyDescent="0.25">
      <c r="A7" s="72">
        <v>2</v>
      </c>
      <c r="B7" s="86">
        <v>45600</v>
      </c>
      <c r="C7" s="86" t="s">
        <v>248</v>
      </c>
      <c r="D7" s="76" t="s">
        <v>258</v>
      </c>
      <c r="E7" s="232" t="s">
        <v>246</v>
      </c>
      <c r="F7" s="232"/>
      <c r="G7" s="232"/>
      <c r="H7" s="232"/>
      <c r="I7" s="232"/>
      <c r="J7" s="232"/>
      <c r="K7" s="77">
        <v>5000000</v>
      </c>
      <c r="L7" s="165">
        <v>2920</v>
      </c>
      <c r="M7">
        <v>64.95</v>
      </c>
      <c r="N7" s="175">
        <f t="shared" si="0"/>
        <v>189654</v>
      </c>
      <c r="O7" t="s">
        <v>172</v>
      </c>
    </row>
    <row r="8" spans="1:15" x14ac:dyDescent="0.25">
      <c r="A8" s="153">
        <v>2</v>
      </c>
      <c r="B8" s="80"/>
      <c r="C8" s="86" t="s">
        <v>248</v>
      </c>
      <c r="D8" s="76" t="s">
        <v>258</v>
      </c>
      <c r="E8" s="232" t="s">
        <v>246</v>
      </c>
      <c r="F8" s="232"/>
      <c r="G8" s="232"/>
      <c r="H8" s="232"/>
      <c r="I8" s="232"/>
      <c r="J8" s="232"/>
      <c r="K8" s="77">
        <v>5000000</v>
      </c>
      <c r="L8" s="176">
        <v>736</v>
      </c>
      <c r="M8">
        <v>64.95</v>
      </c>
      <c r="N8" s="175">
        <f>L8*M8</f>
        <v>47803.200000000004</v>
      </c>
      <c r="O8" t="s">
        <v>173</v>
      </c>
    </row>
    <row r="9" spans="1:15" x14ac:dyDescent="0.25">
      <c r="A9" s="154">
        <v>3</v>
      </c>
      <c r="B9" s="80">
        <v>45639</v>
      </c>
      <c r="C9" s="86" t="s">
        <v>248</v>
      </c>
      <c r="D9" s="76" t="s">
        <v>323</v>
      </c>
      <c r="E9" s="232" t="s">
        <v>246</v>
      </c>
      <c r="F9" s="232"/>
      <c r="G9" s="232"/>
      <c r="H9" s="232"/>
      <c r="I9" s="232"/>
      <c r="J9" s="232"/>
      <c r="K9" s="77">
        <v>8000000</v>
      </c>
      <c r="L9" s="176">
        <v>735</v>
      </c>
      <c r="M9">
        <v>64.95</v>
      </c>
      <c r="N9" s="175">
        <f t="shared" si="0"/>
        <v>47738.25</v>
      </c>
      <c r="O9" t="s">
        <v>174</v>
      </c>
    </row>
    <row r="10" spans="1:15" x14ac:dyDescent="0.25">
      <c r="A10" s="154">
        <v>4</v>
      </c>
      <c r="B10" s="80"/>
      <c r="C10" s="145"/>
      <c r="D10" s="76"/>
      <c r="E10" s="126"/>
      <c r="F10" s="127"/>
      <c r="G10" s="127"/>
      <c r="H10" s="127"/>
      <c r="I10" s="127"/>
      <c r="J10" s="128"/>
      <c r="K10" s="77"/>
      <c r="N10" s="175">
        <f>SUM(N5:N9)</f>
        <v>801742.8</v>
      </c>
    </row>
    <row r="11" spans="1:15" x14ac:dyDescent="0.25">
      <c r="A11" s="153">
        <v>5</v>
      </c>
      <c r="B11" s="80"/>
      <c r="C11" s="145"/>
      <c r="D11" s="76"/>
      <c r="E11" s="126"/>
      <c r="F11" s="127"/>
      <c r="G11" s="127"/>
      <c r="H11" s="127"/>
      <c r="I11" s="127"/>
      <c r="J11" s="128"/>
      <c r="K11" s="77"/>
    </row>
    <row r="12" spans="1:15" x14ac:dyDescent="0.25">
      <c r="A12" s="154">
        <v>6</v>
      </c>
      <c r="B12" s="80"/>
      <c r="C12" s="145"/>
      <c r="D12" s="76"/>
      <c r="E12" s="126"/>
      <c r="F12" s="127"/>
      <c r="G12" s="127"/>
      <c r="H12" s="127"/>
      <c r="I12" s="127"/>
      <c r="J12" s="128"/>
      <c r="K12" s="77"/>
      <c r="N12" s="175">
        <f>N10+K94</f>
        <v>8721007.3600000031</v>
      </c>
    </row>
    <row r="13" spans="1:15" x14ac:dyDescent="0.25">
      <c r="A13" s="154">
        <v>7</v>
      </c>
      <c r="B13" s="80"/>
      <c r="C13" s="145"/>
      <c r="D13" s="76"/>
      <c r="E13" s="126"/>
      <c r="F13" s="127"/>
      <c r="G13" s="127"/>
      <c r="H13" s="127"/>
      <c r="I13" s="127"/>
      <c r="J13" s="128"/>
      <c r="K13" s="77"/>
    </row>
    <row r="14" spans="1:15" x14ac:dyDescent="0.25">
      <c r="A14" s="153">
        <v>8</v>
      </c>
      <c r="B14" s="80"/>
      <c r="C14" s="145"/>
      <c r="D14" s="76"/>
      <c r="E14" s="126"/>
      <c r="F14" s="127"/>
      <c r="G14" s="127"/>
      <c r="H14" s="127"/>
      <c r="I14" s="127"/>
      <c r="J14" s="128"/>
      <c r="K14" s="77"/>
    </row>
    <row r="15" spans="1:15" x14ac:dyDescent="0.25">
      <c r="A15" s="125">
        <v>9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5" x14ac:dyDescent="0.25">
      <c r="A16" s="125">
        <v>10</v>
      </c>
      <c r="B16" s="80"/>
      <c r="C16" s="78"/>
      <c r="D16" s="76"/>
      <c r="E16" s="126"/>
      <c r="F16" s="127"/>
      <c r="G16" s="127"/>
      <c r="H16" s="127"/>
      <c r="I16" s="127"/>
      <c r="J16" s="128"/>
      <c r="K16" s="77"/>
    </row>
    <row r="17" spans="1:14" x14ac:dyDescent="0.25">
      <c r="A17" s="84">
        <v>11</v>
      </c>
      <c r="B17" s="72"/>
      <c r="C17" s="77"/>
      <c r="D17" s="76"/>
      <c r="E17" s="126"/>
      <c r="F17" s="127"/>
      <c r="G17" s="127"/>
      <c r="H17" s="127"/>
      <c r="I17" s="127"/>
      <c r="J17" s="128"/>
      <c r="K17" s="77"/>
    </row>
    <row r="18" spans="1:14" x14ac:dyDescent="0.25">
      <c r="A18" s="84">
        <v>12</v>
      </c>
      <c r="B18" s="80"/>
      <c r="C18" s="72"/>
      <c r="D18" s="76"/>
      <c r="E18" s="126"/>
      <c r="F18" s="127"/>
      <c r="G18" s="127"/>
      <c r="H18" s="127"/>
      <c r="I18" s="127"/>
      <c r="J18" s="128"/>
      <c r="K18" s="77"/>
    </row>
    <row r="19" spans="1:14" x14ac:dyDescent="0.25">
      <c r="A19" s="84">
        <v>13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  <c r="N19" s="175">
        <f>K5+N10</f>
        <v>7597016.8899999997</v>
      </c>
    </row>
    <row r="20" spans="1:14" x14ac:dyDescent="0.25">
      <c r="A20" s="84">
        <v>14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4" x14ac:dyDescent="0.25">
      <c r="A21" s="84">
        <v>15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4" x14ac:dyDescent="0.25">
      <c r="A22" s="84">
        <v>16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4" x14ac:dyDescent="0.25">
      <c r="A23" s="84">
        <v>17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4" x14ac:dyDescent="0.25">
      <c r="A24" s="84">
        <v>18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4" x14ac:dyDescent="0.25">
      <c r="A25" s="84">
        <v>19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4" x14ac:dyDescent="0.25">
      <c r="A26" s="84">
        <v>20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4" x14ac:dyDescent="0.25">
      <c r="A27" s="84">
        <v>21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4" x14ac:dyDescent="0.25">
      <c r="A28" s="84">
        <v>22</v>
      </c>
      <c r="B28" s="80"/>
      <c r="C28" s="77"/>
      <c r="D28" s="76"/>
      <c r="E28" s="126"/>
      <c r="F28" s="127"/>
      <c r="G28" s="127"/>
      <c r="H28" s="127"/>
      <c r="I28" s="127"/>
      <c r="J28" s="128"/>
      <c r="K28" s="77"/>
    </row>
    <row r="29" spans="1:14" x14ac:dyDescent="0.25">
      <c r="A29" s="84">
        <v>23</v>
      </c>
      <c r="B29" s="80"/>
      <c r="C29" s="129"/>
      <c r="D29" s="76"/>
      <c r="E29" s="126"/>
      <c r="F29" s="127"/>
      <c r="G29" s="127"/>
      <c r="H29" s="127"/>
      <c r="I29" s="127"/>
      <c r="J29" s="128"/>
      <c r="K29" s="77"/>
    </row>
    <row r="30" spans="1:14" x14ac:dyDescent="0.25">
      <c r="A30" s="84">
        <v>24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4" x14ac:dyDescent="0.25">
      <c r="A31" s="84">
        <v>25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4" x14ac:dyDescent="0.25">
      <c r="A32" s="84">
        <v>26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27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28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29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30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31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32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33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34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35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36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37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38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39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40</v>
      </c>
      <c r="B46" s="80"/>
      <c r="C46" s="77"/>
      <c r="D46" s="76"/>
      <c r="E46" s="126"/>
      <c r="F46" s="127"/>
      <c r="G46" s="127"/>
      <c r="H46" s="127"/>
      <c r="I46" s="127"/>
      <c r="J46" s="128"/>
      <c r="K46" s="77"/>
    </row>
    <row r="47" spans="1:11" x14ac:dyDescent="0.25">
      <c r="A47" s="84">
        <v>41</v>
      </c>
      <c r="B47" s="93"/>
      <c r="C47" s="90"/>
      <c r="D47" s="76"/>
      <c r="E47" s="236"/>
      <c r="F47" s="237"/>
      <c r="G47" s="237"/>
      <c r="H47" s="237"/>
      <c r="I47" s="237"/>
      <c r="J47" s="238"/>
      <c r="K47" s="77"/>
    </row>
    <row r="48" spans="1:11" x14ac:dyDescent="0.25">
      <c r="A48" s="84"/>
      <c r="B48" s="94"/>
      <c r="C48" s="85"/>
      <c r="D48" s="85"/>
      <c r="E48" s="74"/>
      <c r="F48" s="74"/>
      <c r="G48" s="74"/>
      <c r="H48" s="74"/>
      <c r="I48" s="74"/>
      <c r="J48" s="74"/>
      <c r="K48" s="74"/>
    </row>
    <row r="49" spans="1:14" x14ac:dyDescent="0.25">
      <c r="A49" s="84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4" x14ac:dyDescent="0.25">
      <c r="A50" s="84"/>
      <c r="B50" s="93"/>
      <c r="C50" s="90"/>
      <c r="D50" s="76"/>
      <c r="E50" s="76"/>
      <c r="F50" s="76"/>
      <c r="G50" s="76"/>
      <c r="H50" s="76"/>
      <c r="I50" s="76"/>
      <c r="J50" s="76"/>
      <c r="K50" s="92"/>
    </row>
    <row r="51" spans="1:14" ht="15.75" thickBot="1" x14ac:dyDescent="0.3">
      <c r="A51" s="95"/>
      <c r="B51" s="96"/>
      <c r="C51" s="97"/>
      <c r="D51" s="98"/>
      <c r="E51" s="240" t="s">
        <v>26</v>
      </c>
      <c r="F51" s="241"/>
      <c r="G51" s="241"/>
      <c r="H51" s="241"/>
      <c r="I51" s="241"/>
      <c r="J51" s="242"/>
      <c r="K51" s="143">
        <f>SUM(K5:K50)</f>
        <v>34795274.090000004</v>
      </c>
    </row>
    <row r="52" spans="1:14" ht="15.75" thickTop="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4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4" x14ac:dyDescent="0.25">
      <c r="A54" s="95"/>
      <c r="B54" s="96"/>
      <c r="C54" s="97"/>
      <c r="D54" s="98"/>
      <c r="E54" s="98"/>
      <c r="F54" s="98"/>
      <c r="G54" s="98"/>
      <c r="H54" s="98"/>
      <c r="I54" s="98"/>
      <c r="J54" s="98"/>
      <c r="K54" s="99"/>
    </row>
    <row r="55" spans="1:14" x14ac:dyDescent="0.25">
      <c r="A55" s="95"/>
      <c r="B55" s="96"/>
      <c r="C55" s="97"/>
      <c r="D55" s="98"/>
      <c r="E55" s="100" t="s">
        <v>27</v>
      </c>
      <c r="F55" s="101"/>
      <c r="G55" s="101"/>
      <c r="H55" s="101"/>
      <c r="I55" s="98"/>
      <c r="J55" s="98"/>
      <c r="K55" s="99"/>
    </row>
    <row r="56" spans="1:14" x14ac:dyDescent="0.25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4" ht="15.75" thickBot="1" x14ac:dyDescent="0.3">
      <c r="A57" s="95"/>
      <c r="B57" s="96"/>
      <c r="C57" s="97"/>
      <c r="D57" s="98"/>
      <c r="E57" s="98"/>
      <c r="F57" s="98"/>
      <c r="G57" s="98"/>
      <c r="H57" s="98"/>
      <c r="I57" s="98"/>
      <c r="J57" s="98"/>
      <c r="K57" s="99"/>
    </row>
    <row r="58" spans="1:14" ht="63.75" x14ac:dyDescent="0.25">
      <c r="A58" s="102" t="s">
        <v>1</v>
      </c>
      <c r="B58" s="37" t="s">
        <v>10</v>
      </c>
      <c r="C58" s="103" t="s">
        <v>11</v>
      </c>
      <c r="D58" s="103"/>
      <c r="E58" s="103" t="s">
        <v>28</v>
      </c>
      <c r="F58" s="104" t="s">
        <v>13</v>
      </c>
      <c r="G58" s="104" t="s">
        <v>14</v>
      </c>
      <c r="H58" s="103" t="s">
        <v>15</v>
      </c>
      <c r="I58" s="227" t="s">
        <v>16</v>
      </c>
      <c r="J58" s="229" t="s">
        <v>29</v>
      </c>
      <c r="K58" s="41" t="s">
        <v>18</v>
      </c>
      <c r="M58" t="s">
        <v>107</v>
      </c>
    </row>
    <row r="59" spans="1:14" x14ac:dyDescent="0.25">
      <c r="A59" s="105"/>
      <c r="B59" s="106"/>
      <c r="C59" s="107"/>
      <c r="D59" s="108" t="s">
        <v>19</v>
      </c>
      <c r="E59" s="107"/>
      <c r="F59" s="108"/>
      <c r="G59" s="108"/>
      <c r="H59" s="107"/>
      <c r="I59" s="228"/>
      <c r="J59" s="230"/>
      <c r="K59" s="109"/>
    </row>
    <row r="60" spans="1:14" x14ac:dyDescent="0.25">
      <c r="A60" s="110">
        <v>1</v>
      </c>
      <c r="B60" s="83">
        <v>809183</v>
      </c>
      <c r="C60" s="80">
        <v>45535</v>
      </c>
      <c r="D60" s="80" t="s">
        <v>71</v>
      </c>
      <c r="E60" s="74" t="s">
        <v>72</v>
      </c>
      <c r="F60" s="74" t="s">
        <v>30</v>
      </c>
      <c r="G60" s="74" t="s">
        <v>162</v>
      </c>
      <c r="H60" s="74" t="s">
        <v>165</v>
      </c>
      <c r="I60" s="77">
        <v>46344</v>
      </c>
      <c r="J60" s="74">
        <v>64.95</v>
      </c>
      <c r="K60" s="111">
        <f>I60*J60</f>
        <v>3010042.8000000003</v>
      </c>
      <c r="M60">
        <v>72.099999999999994</v>
      </c>
    </row>
    <row r="61" spans="1:14" x14ac:dyDescent="0.25">
      <c r="A61" s="110">
        <v>2</v>
      </c>
      <c r="B61" s="74">
        <v>821691</v>
      </c>
      <c r="C61" s="75">
        <v>45572</v>
      </c>
      <c r="D61" s="80" t="s">
        <v>186</v>
      </c>
      <c r="E61" t="s">
        <v>187</v>
      </c>
      <c r="F61" s="74" t="s">
        <v>30</v>
      </c>
      <c r="G61" s="74" t="s">
        <v>162</v>
      </c>
      <c r="H61" s="74" t="s">
        <v>165</v>
      </c>
      <c r="I61" s="131">
        <v>48448</v>
      </c>
      <c r="J61" s="74">
        <v>68.069999999999993</v>
      </c>
      <c r="K61" s="111">
        <f t="shared" ref="K61:K85" si="1">I61*J61</f>
        <v>3297855.36</v>
      </c>
      <c r="M61">
        <v>106.84</v>
      </c>
      <c r="N61" t="s">
        <v>225</v>
      </c>
    </row>
    <row r="62" spans="1:14" x14ac:dyDescent="0.25">
      <c r="A62" s="110">
        <v>3</v>
      </c>
      <c r="B62">
        <v>829003</v>
      </c>
      <c r="C62" s="80">
        <v>45590</v>
      </c>
      <c r="D62" s="80" t="s">
        <v>48</v>
      </c>
      <c r="E62" s="74" t="s">
        <v>49</v>
      </c>
      <c r="F62" s="74" t="s">
        <v>30</v>
      </c>
      <c r="G62" s="74" t="s">
        <v>162</v>
      </c>
      <c r="H62" s="74" t="s">
        <v>165</v>
      </c>
      <c r="I62" s="77">
        <v>46470</v>
      </c>
      <c r="J62" s="74">
        <v>102.97</v>
      </c>
      <c r="K62" s="111">
        <f t="shared" si="1"/>
        <v>4785015.9000000004</v>
      </c>
      <c r="M62">
        <v>102.97</v>
      </c>
      <c r="N62" t="s">
        <v>226</v>
      </c>
    </row>
    <row r="63" spans="1:14" x14ac:dyDescent="0.25">
      <c r="A63" s="110">
        <v>4</v>
      </c>
      <c r="B63" s="83">
        <v>833747</v>
      </c>
      <c r="C63" s="80">
        <v>45604</v>
      </c>
      <c r="D63" s="80" t="s">
        <v>48</v>
      </c>
      <c r="E63" s="74" t="s">
        <v>49</v>
      </c>
      <c r="F63" s="74" t="s">
        <v>30</v>
      </c>
      <c r="G63" s="74" t="s">
        <v>162</v>
      </c>
      <c r="H63" s="74" t="s">
        <v>165</v>
      </c>
      <c r="I63" s="77">
        <v>46431</v>
      </c>
      <c r="J63" s="74">
        <v>102.97</v>
      </c>
      <c r="K63" s="111">
        <f t="shared" si="1"/>
        <v>4781000.07</v>
      </c>
    </row>
    <row r="64" spans="1:14" x14ac:dyDescent="0.25">
      <c r="A64" s="110">
        <v>5</v>
      </c>
      <c r="B64" s="83">
        <v>839955</v>
      </c>
      <c r="C64" s="80">
        <v>45620</v>
      </c>
      <c r="D64" s="80" t="s">
        <v>186</v>
      </c>
      <c r="E64" t="s">
        <v>187</v>
      </c>
      <c r="F64" s="74" t="s">
        <v>30</v>
      </c>
      <c r="G64" s="74" t="s">
        <v>162</v>
      </c>
      <c r="H64" s="74" t="s">
        <v>165</v>
      </c>
      <c r="I64" s="77">
        <v>48516</v>
      </c>
      <c r="J64" s="74">
        <v>111.84</v>
      </c>
      <c r="K64" s="111">
        <f t="shared" si="1"/>
        <v>5426029.4400000004</v>
      </c>
    </row>
    <row r="65" spans="1:11" x14ac:dyDescent="0.25">
      <c r="A65" s="110">
        <v>6</v>
      </c>
      <c r="B65" s="83">
        <v>847619</v>
      </c>
      <c r="C65" s="80">
        <v>45641</v>
      </c>
      <c r="D65" s="80" t="s">
        <v>186</v>
      </c>
      <c r="E65" t="s">
        <v>187</v>
      </c>
      <c r="F65" s="74" t="s">
        <v>30</v>
      </c>
      <c r="G65" s="74" t="s">
        <v>162</v>
      </c>
      <c r="H65" s="74" t="s">
        <v>165</v>
      </c>
      <c r="I65" s="77">
        <v>47468</v>
      </c>
      <c r="J65" s="74">
        <v>117.47</v>
      </c>
      <c r="K65" s="111">
        <f t="shared" si="1"/>
        <v>5576065.96</v>
      </c>
    </row>
    <row r="66" spans="1:11" x14ac:dyDescent="0.25">
      <c r="A66" s="167">
        <v>7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>
        <f t="shared" si="1"/>
        <v>0</v>
      </c>
    </row>
    <row r="67" spans="1:11" x14ac:dyDescent="0.25">
      <c r="A67" s="167">
        <v>8</v>
      </c>
      <c r="B67" s="83"/>
      <c r="C67" s="80"/>
      <c r="D67" s="80"/>
      <c r="E67" s="74"/>
      <c r="F67" s="74" t="s">
        <v>30</v>
      </c>
      <c r="G67" s="74"/>
      <c r="H67" s="74"/>
      <c r="I67" s="77"/>
      <c r="J67" s="74"/>
      <c r="K67" s="111">
        <f t="shared" si="1"/>
        <v>0</v>
      </c>
    </row>
    <row r="68" spans="1:11" x14ac:dyDescent="0.25">
      <c r="A68" s="167">
        <v>9</v>
      </c>
      <c r="B68" s="85"/>
      <c r="C68" s="86"/>
      <c r="D68" s="80"/>
      <c r="E68" s="74"/>
      <c r="F68" s="74" t="s">
        <v>30</v>
      </c>
      <c r="G68" s="74"/>
      <c r="H68" s="74"/>
      <c r="I68" s="87"/>
      <c r="J68" s="85"/>
      <c r="K68" s="111">
        <f t="shared" si="1"/>
        <v>0</v>
      </c>
    </row>
    <row r="69" spans="1:11" x14ac:dyDescent="0.25">
      <c r="A69" s="167">
        <v>10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1"/>
        <v>0</v>
      </c>
    </row>
    <row r="70" spans="1:11" x14ac:dyDescent="0.25">
      <c r="A70" s="167">
        <v>11</v>
      </c>
      <c r="B70" s="74"/>
      <c r="C70" s="80"/>
      <c r="D70" s="80"/>
      <c r="E70" s="74"/>
      <c r="F70" s="74" t="s">
        <v>30</v>
      </c>
      <c r="G70" s="74"/>
      <c r="H70" s="74"/>
      <c r="I70" s="77"/>
      <c r="J70" s="74"/>
      <c r="K70" s="111">
        <f t="shared" si="1"/>
        <v>0</v>
      </c>
    </row>
    <row r="71" spans="1:11" x14ac:dyDescent="0.25">
      <c r="A71" s="167">
        <v>12</v>
      </c>
      <c r="B71" s="74"/>
      <c r="C71" s="80"/>
      <c r="D71" s="80"/>
      <c r="F71" s="74" t="s">
        <v>30</v>
      </c>
      <c r="G71" s="74"/>
      <c r="H71" s="74"/>
      <c r="I71" s="77"/>
      <c r="J71" s="74"/>
      <c r="K71" s="111">
        <f t="shared" si="1"/>
        <v>0</v>
      </c>
    </row>
    <row r="72" spans="1:11" x14ac:dyDescent="0.25">
      <c r="A72" s="167">
        <v>13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1"/>
        <v>0</v>
      </c>
    </row>
    <row r="73" spans="1:11" x14ac:dyDescent="0.25">
      <c r="A73" s="167">
        <v>14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1"/>
        <v>0</v>
      </c>
    </row>
    <row r="74" spans="1:11" x14ac:dyDescent="0.25">
      <c r="A74" s="167">
        <v>15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1"/>
        <v>0</v>
      </c>
    </row>
    <row r="75" spans="1:11" x14ac:dyDescent="0.25">
      <c r="A75" s="167">
        <v>16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1"/>
        <v>0</v>
      </c>
    </row>
    <row r="76" spans="1:11" x14ac:dyDescent="0.25">
      <c r="A76" s="167">
        <v>17</v>
      </c>
      <c r="B76" s="74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1"/>
        <v>0</v>
      </c>
    </row>
    <row r="77" spans="1:11" x14ac:dyDescent="0.25">
      <c r="A77" s="167">
        <v>18</v>
      </c>
      <c r="B77" s="133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1"/>
        <v>0</v>
      </c>
    </row>
    <row r="78" spans="1:11" x14ac:dyDescent="0.25">
      <c r="A78" s="167">
        <v>19</v>
      </c>
      <c r="B78" s="74"/>
      <c r="C78" s="80"/>
      <c r="D78" s="80"/>
      <c r="E78" s="74"/>
      <c r="F78" s="74" t="s">
        <v>30</v>
      </c>
      <c r="G78" s="74"/>
      <c r="H78" s="74"/>
      <c r="I78" s="77"/>
      <c r="J78" s="74"/>
      <c r="K78" s="111">
        <f t="shared" si="1"/>
        <v>0</v>
      </c>
    </row>
    <row r="79" spans="1:11" x14ac:dyDescent="0.25">
      <c r="A79" s="167">
        <v>20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1"/>
        <v>0</v>
      </c>
    </row>
    <row r="80" spans="1:11" x14ac:dyDescent="0.25">
      <c r="A80" s="167">
        <v>21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1"/>
        <v>0</v>
      </c>
    </row>
    <row r="81" spans="1:11" x14ac:dyDescent="0.25">
      <c r="A81" s="167">
        <v>22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1"/>
        <v>0</v>
      </c>
    </row>
    <row r="82" spans="1:11" x14ac:dyDescent="0.25">
      <c r="A82" s="167">
        <v>23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1"/>
        <v>0</v>
      </c>
    </row>
    <row r="83" spans="1:11" x14ac:dyDescent="0.25">
      <c r="A83" s="167">
        <v>24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>
        <f t="shared" si="1"/>
        <v>0</v>
      </c>
    </row>
    <row r="84" spans="1:11" x14ac:dyDescent="0.25">
      <c r="A84" s="167">
        <v>25</v>
      </c>
      <c r="B84" s="74"/>
      <c r="C84" s="80"/>
      <c r="D84" s="80"/>
      <c r="E84" s="74"/>
      <c r="F84" s="74" t="s">
        <v>30</v>
      </c>
      <c r="G84" s="74"/>
      <c r="H84" s="74"/>
      <c r="I84" s="134"/>
      <c r="J84" s="74"/>
      <c r="K84" s="111">
        <f t="shared" si="1"/>
        <v>0</v>
      </c>
    </row>
    <row r="85" spans="1:11" x14ac:dyDescent="0.25">
      <c r="A85" s="167">
        <v>26</v>
      </c>
      <c r="B85" s="112"/>
      <c r="C85" s="113"/>
      <c r="D85" s="112"/>
      <c r="E85" s="112"/>
      <c r="F85" s="74" t="s">
        <v>30</v>
      </c>
      <c r="G85" s="135"/>
      <c r="H85" s="85"/>
      <c r="I85" s="136"/>
      <c r="J85" s="85"/>
      <c r="K85" s="111">
        <f t="shared" si="1"/>
        <v>0</v>
      </c>
    </row>
    <row r="86" spans="1:11" x14ac:dyDescent="0.25">
      <c r="A86" s="231" t="s">
        <v>37</v>
      </c>
      <c r="B86" s="231"/>
      <c r="C86" s="231"/>
      <c r="D86" s="231"/>
      <c r="E86" s="231"/>
      <c r="F86" s="117"/>
      <c r="G86" s="117"/>
      <c r="H86" s="117"/>
      <c r="I86" s="118"/>
      <c r="J86" s="119"/>
      <c r="K86" s="120">
        <f>SUM(K60:K85)</f>
        <v>26876009.530000001</v>
      </c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5.75" thickBo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</row>
    <row r="92" spans="1:11" ht="16.5" thickTop="1" thickBot="1" x14ac:dyDescent="0.3">
      <c r="A92" s="72"/>
      <c r="B92" s="72"/>
      <c r="C92" s="72"/>
      <c r="D92" s="72"/>
      <c r="E92" s="121" t="s">
        <v>38</v>
      </c>
      <c r="F92" s="121"/>
      <c r="G92" s="121"/>
      <c r="H92" s="122"/>
      <c r="I92" s="122"/>
      <c r="J92" s="122"/>
      <c r="K92" s="123">
        <f>K86</f>
        <v>26876009.530000001</v>
      </c>
    </row>
    <row r="93" spans="1:11" ht="16.5" thickTop="1" thickBot="1" x14ac:dyDescent="0.3">
      <c r="A93" s="72"/>
      <c r="B93" s="72"/>
      <c r="C93" s="72"/>
      <c r="D93" s="72"/>
      <c r="E93" s="33"/>
      <c r="F93" s="33"/>
      <c r="G93" s="33"/>
      <c r="H93" s="72"/>
      <c r="I93" s="72"/>
      <c r="J93" s="72"/>
      <c r="K93" s="72"/>
    </row>
    <row r="94" spans="1:11" ht="16.5" thickTop="1" thickBot="1" x14ac:dyDescent="0.3">
      <c r="A94" s="72"/>
      <c r="B94" s="72"/>
      <c r="C94" s="72"/>
      <c r="D94" s="72"/>
      <c r="E94" s="121" t="s">
        <v>40</v>
      </c>
      <c r="F94" s="121"/>
      <c r="G94" s="121"/>
      <c r="H94" s="122"/>
      <c r="I94" s="122"/>
      <c r="J94" s="122"/>
      <c r="K94" s="124">
        <f>K51-K92</f>
        <v>7919264.5600000024</v>
      </c>
    </row>
    <row r="95" spans="1:11" ht="15.75" thickTop="1" x14ac:dyDescent="0.25"/>
    <row r="96" spans="1:11" x14ac:dyDescent="0.25">
      <c r="K96">
        <v>7073918.5600000098</v>
      </c>
    </row>
    <row r="98" spans="11:11" x14ac:dyDescent="0.25">
      <c r="K98" s="220">
        <f>+K96-K94</f>
        <v>-845345.99999999255</v>
      </c>
    </row>
  </sheetData>
  <mergeCells count="10">
    <mergeCell ref="A86:E86"/>
    <mergeCell ref="E4:J4"/>
    <mergeCell ref="E6:J6"/>
    <mergeCell ref="E8:J8"/>
    <mergeCell ref="E47:J47"/>
    <mergeCell ref="E51:J51"/>
    <mergeCell ref="I58:I59"/>
    <mergeCell ref="J58:J59"/>
    <mergeCell ref="E7:J7"/>
    <mergeCell ref="E9:J9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K94"/>
  <sheetViews>
    <sheetView topLeftCell="A65" workbookViewId="0">
      <selection activeCell="B6" sqref="B6"/>
    </sheetView>
  </sheetViews>
  <sheetFormatPr defaultRowHeight="15" x14ac:dyDescent="0.25"/>
  <cols>
    <col min="1" max="1" width="4" customWidth="1"/>
    <col min="2" max="2" width="8.42578125" customWidth="1"/>
    <col min="3" max="3" width="8.5703125" customWidth="1"/>
    <col min="4" max="4" width="14.7109375" customWidth="1"/>
    <col min="5" max="5" width="13" customWidth="1"/>
    <col min="6" max="6" width="7.7109375" customWidth="1"/>
    <col min="8" max="8" width="4.85546875" customWidth="1"/>
    <col min="9" max="9" width="10.5703125" bestFit="1" customWidth="1"/>
    <col min="11" max="11" width="14.4257812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8.5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125">
        <v>1</v>
      </c>
      <c r="B5" s="80">
        <v>45507</v>
      </c>
      <c r="C5" s="78" t="s">
        <v>25</v>
      </c>
      <c r="D5" s="76" t="s">
        <v>115</v>
      </c>
      <c r="E5" s="232" t="s">
        <v>78</v>
      </c>
      <c r="F5" s="232"/>
      <c r="G5" s="232"/>
      <c r="H5" s="232"/>
      <c r="I5" s="232"/>
      <c r="J5" s="232"/>
      <c r="K5" s="77">
        <v>850000</v>
      </c>
    </row>
    <row r="6" spans="1:11" x14ac:dyDescent="0.25">
      <c r="A6" s="72">
        <v>2</v>
      </c>
      <c r="B6" s="86">
        <v>45511</v>
      </c>
      <c r="C6" s="78" t="s">
        <v>25</v>
      </c>
      <c r="D6" s="76" t="s">
        <v>116</v>
      </c>
      <c r="E6" s="232" t="s">
        <v>78</v>
      </c>
      <c r="F6" s="232"/>
      <c r="G6" s="232"/>
      <c r="H6" s="232"/>
      <c r="I6" s="232"/>
      <c r="J6" s="232"/>
      <c r="K6" s="87">
        <v>550000</v>
      </c>
    </row>
    <row r="7" spans="1:11" x14ac:dyDescent="0.25">
      <c r="A7" s="153">
        <v>2</v>
      </c>
      <c r="B7" s="80"/>
      <c r="C7" s="74"/>
      <c r="D7" s="76"/>
      <c r="E7" s="236"/>
      <c r="F7" s="237"/>
      <c r="G7" s="237"/>
      <c r="H7" s="237"/>
      <c r="I7" s="237"/>
      <c r="J7" s="238"/>
      <c r="K7" s="77"/>
    </row>
    <row r="8" spans="1:11" x14ac:dyDescent="0.25">
      <c r="A8" s="125">
        <v>3</v>
      </c>
      <c r="B8" s="75"/>
      <c r="C8" s="151"/>
      <c r="D8" s="76"/>
      <c r="E8" s="126"/>
      <c r="F8" s="127"/>
      <c r="G8" s="127"/>
      <c r="H8" s="127"/>
      <c r="I8" s="127"/>
      <c r="J8" s="128"/>
      <c r="K8" s="77"/>
    </row>
    <row r="9" spans="1:11" x14ac:dyDescent="0.25">
      <c r="A9" s="125">
        <v>4</v>
      </c>
      <c r="B9" s="75"/>
      <c r="C9" s="78"/>
      <c r="D9" s="76"/>
      <c r="E9" s="126"/>
      <c r="F9" s="127"/>
      <c r="G9" s="127"/>
      <c r="H9" s="127"/>
      <c r="I9" s="127"/>
      <c r="J9" s="128"/>
      <c r="K9" s="77"/>
    </row>
    <row r="10" spans="1:11" x14ac:dyDescent="0.25">
      <c r="A10" s="88">
        <v>5</v>
      </c>
      <c r="B10" s="75"/>
      <c r="C10" s="78"/>
      <c r="D10" s="76"/>
      <c r="E10" s="126"/>
      <c r="F10" s="127"/>
      <c r="G10" s="127"/>
      <c r="H10" s="127"/>
      <c r="I10" s="127"/>
      <c r="J10" s="128"/>
      <c r="K10" s="77"/>
    </row>
    <row r="11" spans="1:11" x14ac:dyDescent="0.25">
      <c r="A11" s="125">
        <v>6</v>
      </c>
      <c r="B11" s="75"/>
      <c r="C11" s="78"/>
      <c r="D11" s="76"/>
      <c r="E11" s="126"/>
      <c r="F11" s="127"/>
      <c r="G11" s="127"/>
      <c r="H11" s="127"/>
      <c r="I11" s="127"/>
      <c r="J11" s="128"/>
      <c r="K11" s="77"/>
    </row>
    <row r="12" spans="1:11" x14ac:dyDescent="0.25">
      <c r="A12" s="125">
        <v>7</v>
      </c>
      <c r="B12" s="75"/>
      <c r="C12" s="78"/>
      <c r="D12" s="76"/>
      <c r="E12" s="126"/>
      <c r="F12" s="127"/>
      <c r="G12" s="127"/>
      <c r="H12" s="127"/>
      <c r="I12" s="127"/>
      <c r="J12" s="128"/>
      <c r="K12" s="77"/>
    </row>
    <row r="13" spans="1:11" x14ac:dyDescent="0.25">
      <c r="A13" s="88">
        <v>8</v>
      </c>
      <c r="B13" s="75"/>
      <c r="C13" s="78"/>
      <c r="D13" s="76"/>
      <c r="E13" s="126"/>
      <c r="F13" s="127"/>
      <c r="G13" s="127"/>
      <c r="H13" s="127"/>
      <c r="I13" s="127"/>
      <c r="J13" s="128"/>
      <c r="K13" s="77"/>
    </row>
    <row r="14" spans="1:11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1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1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41</v>
      </c>
      <c r="B46" s="93"/>
      <c r="C46" s="90"/>
      <c r="D46" s="76"/>
      <c r="E46" s="236"/>
      <c r="F46" s="237"/>
      <c r="G46" s="237"/>
      <c r="H46" s="237"/>
      <c r="I46" s="237"/>
      <c r="J46" s="238"/>
      <c r="K46" s="77"/>
    </row>
    <row r="47" spans="1:11" ht="15.75" thickBot="1" x14ac:dyDescent="0.3">
      <c r="A47" s="84"/>
      <c r="B47" s="94"/>
      <c r="C47" s="85"/>
      <c r="D47" s="85"/>
      <c r="E47" s="246" t="s">
        <v>26</v>
      </c>
      <c r="F47" s="247"/>
      <c r="G47" s="247"/>
      <c r="H47" s="247"/>
      <c r="I47" s="247"/>
      <c r="J47" s="248"/>
      <c r="K47" s="130">
        <f>SUM(K5:K46)</f>
        <v>1400000</v>
      </c>
    </row>
    <row r="48" spans="1:11" ht="15.75" thickTop="1" x14ac:dyDescent="0.25">
      <c r="A48" s="84"/>
      <c r="B48" s="96"/>
      <c r="C48" s="97"/>
      <c r="D48" s="98"/>
      <c r="E48" s="98"/>
      <c r="F48" s="98"/>
      <c r="G48" s="98"/>
      <c r="H48" s="98"/>
      <c r="I48" s="98"/>
      <c r="J48" s="98"/>
      <c r="K48" s="99"/>
    </row>
    <row r="49" spans="1:11" x14ac:dyDescent="0.25">
      <c r="A49" s="84"/>
      <c r="B49" s="96"/>
      <c r="C49" s="97"/>
      <c r="D49" s="98"/>
      <c r="E49" s="98"/>
      <c r="F49" s="98"/>
      <c r="G49" s="98"/>
      <c r="H49" s="98"/>
      <c r="I49" s="98"/>
      <c r="J49" s="98"/>
      <c r="K49" s="99"/>
    </row>
    <row r="50" spans="1:11" x14ac:dyDescent="0.25">
      <c r="A50" s="95"/>
      <c r="B50" s="96"/>
      <c r="C50" s="97"/>
      <c r="D50" s="98"/>
      <c r="E50" s="98"/>
      <c r="F50" s="98"/>
      <c r="G50" s="98"/>
      <c r="H50" s="98"/>
      <c r="I50" s="98"/>
      <c r="J50" s="98"/>
      <c r="K50" s="99"/>
    </row>
    <row r="51" spans="1:1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1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1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1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1" ht="63.75" x14ac:dyDescent="0.25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41" t="s">
        <v>18</v>
      </c>
    </row>
    <row r="58" spans="1:11" x14ac:dyDescent="0.25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30"/>
      <c r="K58" s="109"/>
    </row>
    <row r="59" spans="1:11" x14ac:dyDescent="0.25">
      <c r="A59" s="110">
        <v>1</v>
      </c>
      <c r="B59" s="83">
        <v>797320</v>
      </c>
      <c r="C59" s="80">
        <v>45501</v>
      </c>
      <c r="D59" s="80" t="s">
        <v>44</v>
      </c>
      <c r="E59" s="74" t="s">
        <v>45</v>
      </c>
      <c r="F59" s="74" t="s">
        <v>30</v>
      </c>
      <c r="G59" s="74" t="s">
        <v>95</v>
      </c>
      <c r="H59" s="74" t="s">
        <v>32</v>
      </c>
      <c r="I59" s="77">
        <v>46860</v>
      </c>
      <c r="J59" s="74">
        <v>79.449200000000005</v>
      </c>
      <c r="K59" s="111">
        <f>I59*J59</f>
        <v>3722989.5120000001</v>
      </c>
    </row>
    <row r="60" spans="1:11" x14ac:dyDescent="0.25">
      <c r="A60" s="110">
        <v>2</v>
      </c>
      <c r="B60" s="74"/>
      <c r="C60" s="80"/>
      <c r="D60" s="80"/>
      <c r="E60" s="74"/>
      <c r="F60" s="74" t="s">
        <v>30</v>
      </c>
      <c r="G60" s="74"/>
      <c r="H60" s="74"/>
      <c r="I60" s="77"/>
      <c r="J60" s="74"/>
      <c r="K60" s="111"/>
    </row>
    <row r="61" spans="1:11" x14ac:dyDescent="0.25">
      <c r="A61" s="110">
        <v>3</v>
      </c>
      <c r="C61" s="161"/>
      <c r="D61" s="161"/>
      <c r="E61" s="137"/>
      <c r="F61" s="74" t="s">
        <v>30</v>
      </c>
      <c r="G61" s="137"/>
      <c r="H61" s="137"/>
      <c r="I61" s="139"/>
      <c r="J61" s="137"/>
      <c r="K61" s="111"/>
    </row>
    <row r="62" spans="1:11" x14ac:dyDescent="0.25">
      <c r="A62" s="110">
        <v>4</v>
      </c>
      <c r="B62" s="83"/>
      <c r="C62" s="80"/>
      <c r="D62" s="80"/>
      <c r="E62" s="74"/>
      <c r="F62" s="74" t="s">
        <v>30</v>
      </c>
      <c r="G62" s="74"/>
      <c r="H62" s="74"/>
      <c r="I62" s="77"/>
      <c r="J62" s="74"/>
      <c r="K62" s="132"/>
    </row>
    <row r="63" spans="1:11" x14ac:dyDescent="0.25">
      <c r="A63" s="110">
        <v>5</v>
      </c>
      <c r="B63" s="83"/>
      <c r="C63" s="80"/>
      <c r="D63" s="80"/>
      <c r="E63" s="74"/>
      <c r="F63" s="74" t="s">
        <v>30</v>
      </c>
      <c r="G63" s="74"/>
      <c r="H63" s="74"/>
      <c r="I63" s="77"/>
      <c r="J63" s="74"/>
      <c r="K63" s="111"/>
    </row>
    <row r="64" spans="1:11" x14ac:dyDescent="0.25">
      <c r="A64" s="110">
        <v>6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/>
    </row>
    <row r="65" spans="1:11" x14ac:dyDescent="0.25">
      <c r="A65" s="167">
        <v>7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/>
    </row>
    <row r="66" spans="1:11" x14ac:dyDescent="0.25">
      <c r="A66" s="167">
        <v>8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/>
    </row>
    <row r="67" spans="1:11" x14ac:dyDescent="0.25">
      <c r="A67" s="167">
        <v>9</v>
      </c>
      <c r="B67" s="85"/>
      <c r="C67" s="86"/>
      <c r="D67" s="80"/>
      <c r="E67" s="74"/>
      <c r="F67" s="74" t="s">
        <v>30</v>
      </c>
      <c r="G67" s="74"/>
      <c r="H67" s="74"/>
      <c r="I67" s="87"/>
      <c r="J67" s="85"/>
      <c r="K67" s="87"/>
    </row>
    <row r="68" spans="1:11" x14ac:dyDescent="0.25">
      <c r="A68" s="167">
        <v>10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/>
    </row>
    <row r="69" spans="1:11" x14ac:dyDescent="0.25">
      <c r="A69" s="167">
        <v>11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/>
    </row>
    <row r="70" spans="1:11" x14ac:dyDescent="0.25">
      <c r="A70" s="167">
        <v>12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/>
    </row>
    <row r="71" spans="1:11" x14ac:dyDescent="0.25">
      <c r="A71" s="167">
        <v>13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/>
    </row>
    <row r="72" spans="1:11" x14ac:dyDescent="0.25">
      <c r="A72" s="167">
        <v>14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/>
    </row>
    <row r="73" spans="1:11" x14ac:dyDescent="0.25">
      <c r="A73" s="167">
        <v>15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/>
    </row>
    <row r="74" spans="1:11" x14ac:dyDescent="0.25">
      <c r="A74" s="167">
        <v>16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/>
    </row>
    <row r="75" spans="1:11" x14ac:dyDescent="0.25">
      <c r="A75" s="167">
        <v>17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/>
    </row>
    <row r="76" spans="1:11" x14ac:dyDescent="0.25">
      <c r="A76" s="167">
        <v>18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/>
    </row>
    <row r="77" spans="1:11" x14ac:dyDescent="0.25">
      <c r="A77" s="167">
        <v>19</v>
      </c>
      <c r="B77" s="74"/>
      <c r="C77" s="80"/>
      <c r="D77" s="80"/>
      <c r="E77" s="74"/>
      <c r="F77" s="74" t="s">
        <v>30</v>
      </c>
      <c r="G77" s="74"/>
      <c r="H77" s="74"/>
      <c r="I77" s="77"/>
      <c r="J77" s="74"/>
      <c r="K77" s="111"/>
    </row>
    <row r="78" spans="1:11" x14ac:dyDescent="0.25">
      <c r="A78" s="167">
        <v>20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/>
    </row>
    <row r="79" spans="1:11" x14ac:dyDescent="0.25">
      <c r="A79" s="167">
        <v>21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/>
    </row>
    <row r="80" spans="1:11" x14ac:dyDescent="0.25">
      <c r="A80" s="167">
        <v>22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/>
    </row>
    <row r="81" spans="1:11" x14ac:dyDescent="0.25">
      <c r="A81" s="167">
        <v>23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/>
    </row>
    <row r="82" spans="1:11" x14ac:dyDescent="0.25">
      <c r="A82" s="167">
        <v>24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/>
    </row>
    <row r="83" spans="1:11" x14ac:dyDescent="0.25">
      <c r="A83" s="167">
        <v>25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/>
    </row>
    <row r="84" spans="1:11" x14ac:dyDescent="0.25">
      <c r="A84" s="167">
        <v>26</v>
      </c>
      <c r="B84" s="112"/>
      <c r="C84" s="113"/>
      <c r="D84" s="112"/>
      <c r="E84" s="112"/>
      <c r="F84" s="74" t="s">
        <v>30</v>
      </c>
      <c r="G84" s="135"/>
      <c r="H84" s="85"/>
      <c r="I84" s="136"/>
      <c r="J84" s="85"/>
      <c r="K84" s="114"/>
    </row>
    <row r="85" spans="1:11" x14ac:dyDescent="0.25">
      <c r="A85" s="231" t="s">
        <v>37</v>
      </c>
      <c r="B85" s="231"/>
      <c r="C85" s="231"/>
      <c r="D85" s="231"/>
      <c r="E85" s="231"/>
      <c r="F85" s="117"/>
      <c r="G85" s="117"/>
      <c r="H85" s="117"/>
      <c r="I85" s="118"/>
      <c r="J85" s="119"/>
      <c r="K85" s="120">
        <f>SUM(K59:K84)</f>
        <v>3722989.5120000001</v>
      </c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5.75" thickBo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38</v>
      </c>
      <c r="F91" s="121"/>
      <c r="G91" s="121"/>
      <c r="H91" s="122"/>
      <c r="I91" s="122"/>
      <c r="J91" s="122"/>
      <c r="K91" s="123">
        <f>K85</f>
        <v>3722989.5120000001</v>
      </c>
    </row>
    <row r="92" spans="1:11" ht="16.5" thickTop="1" thickBot="1" x14ac:dyDescent="0.3">
      <c r="A92" s="72"/>
      <c r="B92" s="72"/>
      <c r="C92" s="72"/>
      <c r="D92" s="72"/>
      <c r="E92" s="33"/>
      <c r="F92" s="33"/>
      <c r="G92" s="33"/>
      <c r="H92" s="72"/>
      <c r="I92" s="72"/>
      <c r="J92" s="72"/>
      <c r="K92" s="72"/>
    </row>
    <row r="93" spans="1:11" ht="16.5" thickTop="1" thickBot="1" x14ac:dyDescent="0.3">
      <c r="A93" s="72"/>
      <c r="B93" s="72"/>
      <c r="C93" s="72"/>
      <c r="D93" s="72"/>
      <c r="E93" s="121" t="s">
        <v>40</v>
      </c>
      <c r="F93" s="121"/>
      <c r="G93" s="121"/>
      <c r="H93" s="122"/>
      <c r="I93" s="122"/>
      <c r="J93" s="122"/>
      <c r="K93" s="124">
        <f>K47-K91</f>
        <v>-2322989.5120000001</v>
      </c>
    </row>
    <row r="94" spans="1:11" ht="15.75" thickTop="1" x14ac:dyDescent="0.25"/>
  </sheetData>
  <mergeCells count="9">
    <mergeCell ref="A85:E85"/>
    <mergeCell ref="E4:J4"/>
    <mergeCell ref="E5:J5"/>
    <mergeCell ref="E7:J7"/>
    <mergeCell ref="E46:J46"/>
    <mergeCell ref="E47:J47"/>
    <mergeCell ref="I57:I58"/>
    <mergeCell ref="J57:J58"/>
    <mergeCell ref="E6:J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94"/>
  <sheetViews>
    <sheetView topLeftCell="A31" workbookViewId="0">
      <selection activeCell="E9" sqref="E9:J9"/>
    </sheetView>
  </sheetViews>
  <sheetFormatPr defaultRowHeight="15" x14ac:dyDescent="0.25"/>
  <cols>
    <col min="1" max="1" width="3.42578125" customWidth="1"/>
    <col min="3" max="3" width="9.5703125" customWidth="1"/>
    <col min="4" max="4" width="14" customWidth="1"/>
    <col min="5" max="5" width="13" customWidth="1"/>
    <col min="6" max="6" width="7.5703125" customWidth="1"/>
    <col min="7" max="7" width="8.140625" customWidth="1"/>
    <col min="8" max="8" width="5.28515625" customWidth="1"/>
    <col min="9" max="9" width="10.5703125" bestFit="1" customWidth="1"/>
    <col min="10" max="10" width="8.140625" customWidth="1"/>
    <col min="11" max="11" width="15.2851562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1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125">
        <v>1</v>
      </c>
      <c r="B5" s="80">
        <v>45495</v>
      </c>
      <c r="C5" s="78" t="s">
        <v>25</v>
      </c>
      <c r="D5" s="76" t="s">
        <v>79</v>
      </c>
      <c r="E5" s="232" t="s">
        <v>78</v>
      </c>
      <c r="F5" s="232"/>
      <c r="G5" s="232"/>
      <c r="H5" s="232"/>
      <c r="I5" s="232"/>
      <c r="J5" s="232"/>
      <c r="K5" s="77">
        <v>1894000</v>
      </c>
    </row>
    <row r="6" spans="1:11" x14ac:dyDescent="0.25">
      <c r="A6" s="72">
        <v>2</v>
      </c>
      <c r="B6" s="86">
        <v>45495</v>
      </c>
      <c r="C6" s="85" t="s">
        <v>80</v>
      </c>
      <c r="D6" s="76" t="s">
        <v>81</v>
      </c>
      <c r="E6" s="232" t="s">
        <v>78</v>
      </c>
      <c r="F6" s="232"/>
      <c r="G6" s="232"/>
      <c r="H6" s="232"/>
      <c r="I6" s="232"/>
      <c r="J6" s="232"/>
      <c r="K6" s="87">
        <v>854000</v>
      </c>
    </row>
    <row r="7" spans="1:11" x14ac:dyDescent="0.25">
      <c r="A7" s="153">
        <v>2</v>
      </c>
      <c r="B7" s="86">
        <v>45495</v>
      </c>
      <c r="C7" s="85" t="s">
        <v>80</v>
      </c>
      <c r="D7" s="76" t="s">
        <v>82</v>
      </c>
      <c r="E7" s="232" t="s">
        <v>78</v>
      </c>
      <c r="F7" s="232"/>
      <c r="G7" s="232"/>
      <c r="H7" s="232"/>
      <c r="I7" s="232"/>
      <c r="J7" s="232"/>
      <c r="K7" s="77">
        <v>374000</v>
      </c>
    </row>
    <row r="8" spans="1:11" x14ac:dyDescent="0.25">
      <c r="A8" s="154">
        <v>3</v>
      </c>
      <c r="B8" s="86">
        <v>45495</v>
      </c>
      <c r="C8" s="78" t="s">
        <v>25</v>
      </c>
      <c r="D8" s="76" t="s">
        <v>83</v>
      </c>
      <c r="E8" s="232" t="s">
        <v>78</v>
      </c>
      <c r="F8" s="232"/>
      <c r="G8" s="232"/>
      <c r="H8" s="232"/>
      <c r="I8" s="232"/>
      <c r="J8" s="232"/>
      <c r="K8" s="77">
        <v>152000</v>
      </c>
    </row>
    <row r="9" spans="1:11" x14ac:dyDescent="0.25">
      <c r="A9" s="154">
        <v>4</v>
      </c>
      <c r="B9" s="80">
        <v>45496</v>
      </c>
      <c r="C9" s="78" t="s">
        <v>25</v>
      </c>
      <c r="D9" s="76"/>
      <c r="E9" s="232" t="s">
        <v>78</v>
      </c>
      <c r="F9" s="232"/>
      <c r="G9" s="232"/>
      <c r="H9" s="232"/>
      <c r="I9" s="232"/>
      <c r="J9" s="232"/>
      <c r="K9" s="77">
        <v>321000</v>
      </c>
    </row>
    <row r="10" spans="1:11" x14ac:dyDescent="0.25">
      <c r="A10" s="153">
        <v>5</v>
      </c>
      <c r="B10" s="80"/>
      <c r="C10" s="145"/>
      <c r="D10" s="76"/>
      <c r="E10" s="126"/>
      <c r="F10" s="127"/>
      <c r="G10" s="127"/>
      <c r="H10" s="127"/>
      <c r="I10" s="127"/>
      <c r="J10" s="128"/>
      <c r="K10" s="77"/>
    </row>
    <row r="11" spans="1:11" x14ac:dyDescent="0.25">
      <c r="A11" s="154">
        <v>6</v>
      </c>
      <c r="B11" s="80"/>
      <c r="C11" s="145"/>
      <c r="D11" s="76"/>
      <c r="E11" s="126"/>
      <c r="F11" s="127"/>
      <c r="G11" s="127"/>
      <c r="H11" s="127"/>
      <c r="I11" s="127"/>
      <c r="J11" s="128"/>
      <c r="K11" s="77"/>
    </row>
    <row r="12" spans="1:11" x14ac:dyDescent="0.25">
      <c r="A12" s="154">
        <v>7</v>
      </c>
      <c r="B12" s="80"/>
      <c r="C12" s="145"/>
      <c r="D12" s="76"/>
      <c r="E12" s="126"/>
      <c r="F12" s="127"/>
      <c r="G12" s="127"/>
      <c r="H12" s="127"/>
      <c r="I12" s="127"/>
      <c r="J12" s="128"/>
      <c r="K12" s="77"/>
    </row>
    <row r="13" spans="1:11" x14ac:dyDescent="0.25">
      <c r="A13" s="153">
        <v>8</v>
      </c>
      <c r="B13" s="80"/>
      <c r="C13" s="145"/>
      <c r="D13" s="76"/>
      <c r="E13" s="126"/>
      <c r="F13" s="127"/>
      <c r="G13" s="127"/>
      <c r="H13" s="127"/>
      <c r="I13" s="127"/>
      <c r="J13" s="128"/>
      <c r="K13" s="77"/>
    </row>
    <row r="14" spans="1:11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1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1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41</v>
      </c>
      <c r="B46" s="93"/>
      <c r="C46" s="90"/>
      <c r="D46" s="76"/>
      <c r="E46" s="236"/>
      <c r="F46" s="237"/>
      <c r="G46" s="237"/>
      <c r="H46" s="237"/>
      <c r="I46" s="237"/>
      <c r="J46" s="238"/>
      <c r="K46" s="77"/>
    </row>
    <row r="47" spans="1:11" ht="15.75" thickBot="1" x14ac:dyDescent="0.3">
      <c r="A47" s="84"/>
      <c r="B47" s="94"/>
      <c r="C47" s="85"/>
      <c r="D47" s="85"/>
      <c r="E47" s="246" t="s">
        <v>26</v>
      </c>
      <c r="F47" s="247"/>
      <c r="G47" s="247"/>
      <c r="H47" s="247"/>
      <c r="I47" s="247"/>
      <c r="J47" s="248"/>
      <c r="K47" s="130">
        <f>SUM(K5:K46)</f>
        <v>3595000</v>
      </c>
    </row>
    <row r="48" spans="1:11" ht="15.75" thickTop="1" x14ac:dyDescent="0.25">
      <c r="A48" s="84"/>
      <c r="B48" s="96"/>
      <c r="C48" s="97"/>
      <c r="D48" s="98"/>
      <c r="E48" s="98"/>
      <c r="F48" s="98"/>
      <c r="G48" s="98"/>
      <c r="H48" s="98"/>
      <c r="I48" s="98"/>
      <c r="J48" s="98"/>
      <c r="K48" s="99"/>
    </row>
    <row r="49" spans="1:11" x14ac:dyDescent="0.25">
      <c r="A49" s="84"/>
      <c r="B49" s="96"/>
      <c r="C49" s="97"/>
      <c r="D49" s="98"/>
      <c r="E49" s="98"/>
      <c r="F49" s="98"/>
      <c r="G49" s="98"/>
      <c r="H49" s="98"/>
      <c r="I49" s="98"/>
      <c r="J49" s="98"/>
      <c r="K49" s="99"/>
    </row>
    <row r="50" spans="1:11" x14ac:dyDescent="0.25">
      <c r="A50" s="95"/>
      <c r="B50" s="96"/>
      <c r="C50" s="97"/>
      <c r="D50" s="98"/>
      <c r="E50" s="98"/>
      <c r="F50" s="98"/>
      <c r="G50" s="98"/>
      <c r="H50" s="98"/>
      <c r="I50" s="98"/>
      <c r="J50" s="98"/>
      <c r="K50" s="99"/>
    </row>
    <row r="51" spans="1:1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1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1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1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1" s="156" customFormat="1" ht="63.75" x14ac:dyDescent="0.25">
      <c r="A57" s="155" t="s">
        <v>1</v>
      </c>
      <c r="B57" s="37" t="s">
        <v>10</v>
      </c>
      <c r="C57" s="103" t="s">
        <v>11</v>
      </c>
      <c r="D57" s="103"/>
      <c r="E57" s="103" t="s">
        <v>28</v>
      </c>
      <c r="F57" s="103" t="s">
        <v>13</v>
      </c>
      <c r="G57" s="103" t="s">
        <v>14</v>
      </c>
      <c r="H57" s="103" t="s">
        <v>15</v>
      </c>
      <c r="I57" s="227" t="s">
        <v>16</v>
      </c>
      <c r="J57" s="229" t="s">
        <v>29</v>
      </c>
      <c r="K57" s="41" t="s">
        <v>18</v>
      </c>
    </row>
    <row r="58" spans="1:11" x14ac:dyDescent="0.25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30"/>
      <c r="K58" s="109"/>
    </row>
    <row r="59" spans="1:11" x14ac:dyDescent="0.25">
      <c r="A59" s="110">
        <v>1</v>
      </c>
      <c r="B59" s="83">
        <v>790976</v>
      </c>
      <c r="C59" s="80">
        <v>45485</v>
      </c>
      <c r="D59" s="80" t="s">
        <v>48</v>
      </c>
      <c r="E59" s="74" t="s">
        <v>49</v>
      </c>
      <c r="F59" s="74" t="s">
        <v>30</v>
      </c>
      <c r="G59" s="74" t="s">
        <v>50</v>
      </c>
      <c r="H59" s="74" t="s">
        <v>32</v>
      </c>
      <c r="I59" s="77">
        <v>45977</v>
      </c>
      <c r="J59" s="74">
        <v>84.789199999999994</v>
      </c>
      <c r="K59" s="111">
        <f>I59*J59</f>
        <v>3898353.0483999997</v>
      </c>
    </row>
    <row r="60" spans="1:11" x14ac:dyDescent="0.25">
      <c r="A60" s="110">
        <v>2</v>
      </c>
      <c r="B60" s="74"/>
      <c r="C60" s="75"/>
      <c r="D60" s="80"/>
      <c r="F60" s="74" t="s">
        <v>30</v>
      </c>
      <c r="G60" s="74"/>
      <c r="H60" s="74"/>
      <c r="I60" s="131"/>
      <c r="K60" s="111"/>
    </row>
    <row r="61" spans="1:11" x14ac:dyDescent="0.25">
      <c r="A61" s="110">
        <v>3</v>
      </c>
      <c r="C61" s="80"/>
      <c r="D61" s="80"/>
      <c r="E61" s="74"/>
      <c r="F61" s="74" t="s">
        <v>30</v>
      </c>
      <c r="G61" s="74"/>
      <c r="H61" s="74"/>
      <c r="I61" s="77"/>
      <c r="J61" s="74"/>
      <c r="K61" s="111"/>
    </row>
    <row r="62" spans="1:11" x14ac:dyDescent="0.25">
      <c r="A62" s="110">
        <v>4</v>
      </c>
      <c r="B62" s="83"/>
      <c r="C62" s="80"/>
      <c r="D62" s="80"/>
      <c r="E62" s="74"/>
      <c r="F62" s="74" t="s">
        <v>30</v>
      </c>
      <c r="G62" s="74"/>
      <c r="H62" s="74"/>
      <c r="I62" s="77"/>
      <c r="J62" s="74"/>
      <c r="K62" s="132"/>
    </row>
    <row r="63" spans="1:11" x14ac:dyDescent="0.25">
      <c r="A63" s="110">
        <v>5</v>
      </c>
      <c r="B63" s="83"/>
      <c r="C63" s="80"/>
      <c r="D63" s="80"/>
      <c r="E63" s="74"/>
      <c r="F63" s="74" t="s">
        <v>30</v>
      </c>
      <c r="G63" s="74"/>
      <c r="H63" s="74"/>
      <c r="I63" s="77"/>
      <c r="J63" s="74"/>
      <c r="K63" s="111"/>
    </row>
    <row r="64" spans="1:11" x14ac:dyDescent="0.25">
      <c r="A64" s="110">
        <v>6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/>
    </row>
    <row r="65" spans="1:11" x14ac:dyDescent="0.25">
      <c r="A65" s="167">
        <v>7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/>
    </row>
    <row r="66" spans="1:11" x14ac:dyDescent="0.25">
      <c r="A66" s="167">
        <v>8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/>
    </row>
    <row r="67" spans="1:11" x14ac:dyDescent="0.25">
      <c r="A67" s="167">
        <v>9</v>
      </c>
      <c r="B67" s="85"/>
      <c r="C67" s="86"/>
      <c r="D67" s="80"/>
      <c r="E67" s="74"/>
      <c r="F67" s="74" t="s">
        <v>30</v>
      </c>
      <c r="G67" s="74"/>
      <c r="H67" s="74"/>
      <c r="I67" s="87"/>
      <c r="J67" s="85"/>
      <c r="K67" s="87"/>
    </row>
    <row r="68" spans="1:11" x14ac:dyDescent="0.25">
      <c r="A68" s="167">
        <v>10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/>
    </row>
    <row r="69" spans="1:11" x14ac:dyDescent="0.25">
      <c r="A69" s="167">
        <v>11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/>
    </row>
    <row r="70" spans="1:11" x14ac:dyDescent="0.25">
      <c r="A70" s="167">
        <v>12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/>
    </row>
    <row r="71" spans="1:11" x14ac:dyDescent="0.25">
      <c r="A71" s="167">
        <v>13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/>
    </row>
    <row r="72" spans="1:11" x14ac:dyDescent="0.25">
      <c r="A72" s="167">
        <v>14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/>
    </row>
    <row r="73" spans="1:11" x14ac:dyDescent="0.25">
      <c r="A73" s="167">
        <v>15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/>
    </row>
    <row r="74" spans="1:11" x14ac:dyDescent="0.25">
      <c r="A74" s="167">
        <v>16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/>
    </row>
    <row r="75" spans="1:11" x14ac:dyDescent="0.25">
      <c r="A75" s="167">
        <v>17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/>
    </row>
    <row r="76" spans="1:11" x14ac:dyDescent="0.25">
      <c r="A76" s="167">
        <v>18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/>
    </row>
    <row r="77" spans="1:11" x14ac:dyDescent="0.25">
      <c r="A77" s="167">
        <v>19</v>
      </c>
      <c r="B77" s="74"/>
      <c r="C77" s="80"/>
      <c r="D77" s="80"/>
      <c r="E77" s="74"/>
      <c r="F77" s="74" t="s">
        <v>30</v>
      </c>
      <c r="G77" s="74"/>
      <c r="H77" s="74"/>
      <c r="I77" s="77"/>
      <c r="J77" s="74"/>
      <c r="K77" s="111"/>
    </row>
    <row r="78" spans="1:11" x14ac:dyDescent="0.25">
      <c r="A78" s="167">
        <v>20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/>
    </row>
    <row r="79" spans="1:11" x14ac:dyDescent="0.25">
      <c r="A79" s="167">
        <v>21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/>
    </row>
    <row r="80" spans="1:11" x14ac:dyDescent="0.25">
      <c r="A80" s="167">
        <v>22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/>
    </row>
    <row r="81" spans="1:11" x14ac:dyDescent="0.25">
      <c r="A81" s="167">
        <v>23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/>
    </row>
    <row r="82" spans="1:11" x14ac:dyDescent="0.25">
      <c r="A82" s="167">
        <v>24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/>
    </row>
    <row r="83" spans="1:11" x14ac:dyDescent="0.25">
      <c r="A83" s="167">
        <v>25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/>
    </row>
    <row r="84" spans="1:11" x14ac:dyDescent="0.25">
      <c r="A84" s="167">
        <v>26</v>
      </c>
      <c r="B84" s="112"/>
      <c r="C84" s="113"/>
      <c r="D84" s="112"/>
      <c r="E84" s="112"/>
      <c r="F84" s="74" t="s">
        <v>30</v>
      </c>
      <c r="G84" s="135"/>
      <c r="H84" s="85"/>
      <c r="I84" s="136"/>
      <c r="J84" s="85"/>
      <c r="K84" s="114"/>
    </row>
    <row r="85" spans="1:11" x14ac:dyDescent="0.25">
      <c r="A85" s="231" t="s">
        <v>37</v>
      </c>
      <c r="B85" s="231"/>
      <c r="C85" s="231"/>
      <c r="D85" s="231"/>
      <c r="E85" s="231"/>
      <c r="F85" s="117"/>
      <c r="G85" s="117"/>
      <c r="H85" s="117"/>
      <c r="I85" s="118"/>
      <c r="J85" s="119"/>
      <c r="K85" s="120">
        <f>SUM(K59:K84)</f>
        <v>3898353.0483999997</v>
      </c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5.75" thickBo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38</v>
      </c>
      <c r="F91" s="121"/>
      <c r="G91" s="121"/>
      <c r="H91" s="122"/>
      <c r="I91" s="122"/>
      <c r="J91" s="122"/>
      <c r="K91" s="123">
        <f>K85</f>
        <v>3898353.0483999997</v>
      </c>
    </row>
    <row r="92" spans="1:11" ht="16.5" thickTop="1" thickBot="1" x14ac:dyDescent="0.3">
      <c r="A92" s="72"/>
      <c r="B92" s="72"/>
      <c r="C92" s="72"/>
      <c r="D92" s="72"/>
      <c r="E92" s="33"/>
      <c r="F92" s="33"/>
      <c r="G92" s="33"/>
      <c r="H92" s="72"/>
      <c r="I92" s="72"/>
      <c r="J92" s="72"/>
      <c r="K92" s="72"/>
    </row>
    <row r="93" spans="1:11" ht="16.5" thickTop="1" thickBot="1" x14ac:dyDescent="0.3">
      <c r="A93" s="72"/>
      <c r="B93" s="72"/>
      <c r="C93" s="72"/>
      <c r="D93" s="72"/>
      <c r="E93" s="121" t="s">
        <v>40</v>
      </c>
      <c r="F93" s="121"/>
      <c r="G93" s="121"/>
      <c r="H93" s="122"/>
      <c r="I93" s="122"/>
      <c r="J93" s="122"/>
      <c r="K93" s="124">
        <f>K47-K91</f>
        <v>-303353.04839999974</v>
      </c>
    </row>
    <row r="94" spans="1:11" ht="15.75" thickTop="1" x14ac:dyDescent="0.25"/>
  </sheetData>
  <mergeCells count="11">
    <mergeCell ref="A85:E85"/>
    <mergeCell ref="E4:J4"/>
    <mergeCell ref="E5:J5"/>
    <mergeCell ref="E7:J7"/>
    <mergeCell ref="E46:J46"/>
    <mergeCell ref="E47:J47"/>
    <mergeCell ref="I57:I58"/>
    <mergeCell ref="J57:J58"/>
    <mergeCell ref="E6:J6"/>
    <mergeCell ref="E8:J8"/>
    <mergeCell ref="E9:J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K94"/>
  <sheetViews>
    <sheetView topLeftCell="A68" workbookViewId="0">
      <selection activeCell="N64" sqref="N64"/>
    </sheetView>
  </sheetViews>
  <sheetFormatPr defaultRowHeight="15" x14ac:dyDescent="0.25"/>
  <cols>
    <col min="1" max="1" width="3.140625" customWidth="1"/>
    <col min="4" max="4" width="16.85546875" customWidth="1"/>
    <col min="5" max="5" width="13.42578125" customWidth="1"/>
    <col min="8" max="8" width="5" customWidth="1"/>
    <col min="9" max="9" width="10.5703125" bestFit="1" customWidth="1"/>
    <col min="11" max="11" width="15.4257812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7.75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125">
        <v>1</v>
      </c>
      <c r="B5" s="80">
        <v>45630</v>
      </c>
      <c r="C5" s="78" t="s">
        <v>80</v>
      </c>
      <c r="D5" s="76" t="s">
        <v>308</v>
      </c>
      <c r="E5" s="232" t="s">
        <v>299</v>
      </c>
      <c r="F5" s="232"/>
      <c r="G5" s="232"/>
      <c r="H5" s="232"/>
      <c r="I5" s="232"/>
      <c r="J5" s="232"/>
      <c r="K5" s="77">
        <v>1900000</v>
      </c>
    </row>
    <row r="6" spans="1:11" x14ac:dyDescent="0.25">
      <c r="A6" s="72">
        <v>2</v>
      </c>
      <c r="B6" s="80">
        <v>45630</v>
      </c>
      <c r="C6" s="85" t="s">
        <v>24</v>
      </c>
      <c r="D6" s="76" t="s">
        <v>86</v>
      </c>
      <c r="E6" s="232" t="s">
        <v>299</v>
      </c>
      <c r="F6" s="232"/>
      <c r="G6" s="232"/>
      <c r="H6" s="232"/>
      <c r="I6" s="232"/>
      <c r="J6" s="232"/>
      <c r="K6" s="87">
        <v>2100000</v>
      </c>
    </row>
    <row r="7" spans="1:11" x14ac:dyDescent="0.25">
      <c r="A7" s="153">
        <v>2</v>
      </c>
      <c r="B7" s="80">
        <v>45637</v>
      </c>
      <c r="C7" s="74" t="s">
        <v>25</v>
      </c>
      <c r="D7" s="76" t="s">
        <v>316</v>
      </c>
      <c r="E7" s="232" t="s">
        <v>299</v>
      </c>
      <c r="F7" s="232"/>
      <c r="G7" s="232"/>
      <c r="H7" s="232"/>
      <c r="I7" s="232"/>
      <c r="J7" s="232"/>
      <c r="K7" s="77">
        <v>3000000</v>
      </c>
    </row>
    <row r="8" spans="1:11" x14ac:dyDescent="0.25">
      <c r="A8" s="125">
        <v>3</v>
      </c>
      <c r="B8" s="80"/>
      <c r="C8" s="151"/>
      <c r="D8" s="76"/>
      <c r="E8" s="232" t="s">
        <v>299</v>
      </c>
      <c r="F8" s="232"/>
      <c r="G8" s="232"/>
      <c r="H8" s="232"/>
      <c r="I8" s="232"/>
      <c r="J8" s="232"/>
      <c r="K8" s="77"/>
    </row>
    <row r="9" spans="1:11" x14ac:dyDescent="0.25">
      <c r="A9" s="125">
        <v>4</v>
      </c>
      <c r="B9" s="80"/>
      <c r="C9" s="78"/>
      <c r="D9" s="76"/>
      <c r="E9" s="232" t="s">
        <v>299</v>
      </c>
      <c r="F9" s="232"/>
      <c r="G9" s="232"/>
      <c r="H9" s="232"/>
      <c r="I9" s="232"/>
      <c r="J9" s="232"/>
      <c r="K9" s="77"/>
    </row>
    <row r="10" spans="1:11" x14ac:dyDescent="0.25">
      <c r="A10" s="88">
        <v>5</v>
      </c>
      <c r="B10" s="80"/>
      <c r="C10" s="78"/>
      <c r="D10" s="76"/>
      <c r="E10" s="232" t="s">
        <v>299</v>
      </c>
      <c r="F10" s="232"/>
      <c r="G10" s="232"/>
      <c r="H10" s="232"/>
      <c r="I10" s="232"/>
      <c r="J10" s="232"/>
      <c r="K10" s="77"/>
    </row>
    <row r="11" spans="1:11" x14ac:dyDescent="0.25">
      <c r="A11" s="125">
        <v>6</v>
      </c>
      <c r="B11" s="80"/>
      <c r="C11" s="78"/>
      <c r="D11" s="76"/>
      <c r="E11" s="232" t="s">
        <v>299</v>
      </c>
      <c r="F11" s="232"/>
      <c r="G11" s="232"/>
      <c r="H11" s="232"/>
      <c r="I11" s="232"/>
      <c r="J11" s="232"/>
      <c r="K11" s="77"/>
    </row>
    <row r="12" spans="1:11" x14ac:dyDescent="0.25">
      <c r="A12" s="125">
        <v>7</v>
      </c>
      <c r="B12" s="80"/>
      <c r="C12" s="78"/>
      <c r="D12" s="76"/>
      <c r="E12" s="232" t="s">
        <v>299</v>
      </c>
      <c r="F12" s="232"/>
      <c r="G12" s="232"/>
      <c r="H12" s="232"/>
      <c r="I12" s="232"/>
      <c r="J12" s="232"/>
      <c r="K12" s="77"/>
    </row>
    <row r="13" spans="1:11" x14ac:dyDescent="0.25">
      <c r="A13" s="88">
        <v>8</v>
      </c>
      <c r="B13" s="80"/>
      <c r="C13" s="78"/>
      <c r="D13" s="76"/>
      <c r="E13" s="232" t="s">
        <v>299</v>
      </c>
      <c r="F13" s="232"/>
      <c r="G13" s="232"/>
      <c r="H13" s="232"/>
      <c r="I13" s="232"/>
      <c r="J13" s="232"/>
      <c r="K13" s="77"/>
    </row>
    <row r="14" spans="1:11" x14ac:dyDescent="0.25">
      <c r="A14" s="125">
        <v>9</v>
      </c>
      <c r="B14" s="80"/>
      <c r="C14" s="78"/>
      <c r="D14" s="76"/>
      <c r="E14" s="232" t="s">
        <v>299</v>
      </c>
      <c r="F14" s="232"/>
      <c r="G14" s="232"/>
      <c r="H14" s="232"/>
      <c r="I14" s="232"/>
      <c r="J14" s="232"/>
      <c r="K14" s="77"/>
    </row>
    <row r="15" spans="1:11" x14ac:dyDescent="0.25">
      <c r="A15" s="125">
        <v>10</v>
      </c>
      <c r="B15" s="80"/>
      <c r="C15" s="78"/>
      <c r="D15" s="76"/>
      <c r="E15" s="232" t="s">
        <v>299</v>
      </c>
      <c r="F15" s="232"/>
      <c r="G15" s="232"/>
      <c r="H15" s="232"/>
      <c r="I15" s="232"/>
      <c r="J15" s="232"/>
      <c r="K15" s="77"/>
    </row>
    <row r="16" spans="1:11" x14ac:dyDescent="0.25">
      <c r="A16" s="84">
        <v>11</v>
      </c>
      <c r="B16" s="72"/>
      <c r="C16" s="77"/>
      <c r="D16" s="76"/>
      <c r="E16" s="232" t="s">
        <v>299</v>
      </c>
      <c r="F16" s="232"/>
      <c r="G16" s="232"/>
      <c r="H16" s="232"/>
      <c r="I16" s="232"/>
      <c r="J16" s="232"/>
      <c r="K16" s="77"/>
    </row>
    <row r="17" spans="1:11" x14ac:dyDescent="0.25">
      <c r="A17" s="84">
        <v>12</v>
      </c>
      <c r="B17" s="80"/>
      <c r="C17" s="72"/>
      <c r="D17" s="76"/>
      <c r="E17" s="232" t="s">
        <v>299</v>
      </c>
      <c r="F17" s="232"/>
      <c r="G17" s="232"/>
      <c r="H17" s="232"/>
      <c r="I17" s="232"/>
      <c r="J17" s="232"/>
      <c r="K17" s="77"/>
    </row>
    <row r="18" spans="1:11" x14ac:dyDescent="0.25">
      <c r="A18" s="84">
        <v>13</v>
      </c>
      <c r="B18" s="80"/>
      <c r="C18" s="77"/>
      <c r="D18" s="76"/>
      <c r="E18" s="232" t="s">
        <v>299</v>
      </c>
      <c r="F18" s="232"/>
      <c r="G18" s="232"/>
      <c r="H18" s="232"/>
      <c r="I18" s="232"/>
      <c r="J18" s="232"/>
      <c r="K18" s="77"/>
    </row>
    <row r="19" spans="1:11" x14ac:dyDescent="0.25">
      <c r="A19" s="84">
        <v>14</v>
      </c>
      <c r="B19" s="80"/>
      <c r="C19" s="77"/>
      <c r="D19" s="76"/>
      <c r="E19" s="232" t="s">
        <v>299</v>
      </c>
      <c r="F19" s="232"/>
      <c r="G19" s="232"/>
      <c r="H19" s="232"/>
      <c r="I19" s="232"/>
      <c r="J19" s="232"/>
      <c r="K19" s="77"/>
    </row>
    <row r="20" spans="1:11" x14ac:dyDescent="0.25">
      <c r="A20" s="84">
        <v>15</v>
      </c>
      <c r="B20" s="80"/>
      <c r="C20" s="77"/>
      <c r="D20" s="76"/>
      <c r="E20" s="232" t="s">
        <v>299</v>
      </c>
      <c r="F20" s="232"/>
      <c r="G20" s="232"/>
      <c r="H20" s="232"/>
      <c r="I20" s="232"/>
      <c r="J20" s="232"/>
      <c r="K20" s="77"/>
    </row>
    <row r="21" spans="1:11" x14ac:dyDescent="0.25">
      <c r="A21" s="84">
        <v>16</v>
      </c>
      <c r="B21" s="80"/>
      <c r="C21" s="77"/>
      <c r="D21" s="76"/>
      <c r="E21" s="232" t="s">
        <v>299</v>
      </c>
      <c r="F21" s="232"/>
      <c r="G21" s="232"/>
      <c r="H21" s="232"/>
      <c r="I21" s="232"/>
      <c r="J21" s="232"/>
      <c r="K21" s="77"/>
    </row>
    <row r="22" spans="1:11" x14ac:dyDescent="0.25">
      <c r="A22" s="84">
        <v>17</v>
      </c>
      <c r="B22" s="80"/>
      <c r="C22" s="77"/>
      <c r="D22" s="76"/>
      <c r="E22" s="232" t="s">
        <v>299</v>
      </c>
      <c r="F22" s="232"/>
      <c r="G22" s="232"/>
      <c r="H22" s="232"/>
      <c r="I22" s="232"/>
      <c r="J22" s="232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41</v>
      </c>
      <c r="B46" s="93"/>
      <c r="C46" s="90"/>
      <c r="D46" s="76"/>
      <c r="E46" s="236"/>
      <c r="F46" s="237"/>
      <c r="G46" s="237"/>
      <c r="H46" s="237"/>
      <c r="I46" s="237"/>
      <c r="J46" s="238"/>
      <c r="K46" s="77"/>
    </row>
    <row r="47" spans="1:11" ht="15.75" thickBot="1" x14ac:dyDescent="0.3">
      <c r="A47" s="84"/>
      <c r="B47" s="94"/>
      <c r="C47" s="85"/>
      <c r="D47" s="85"/>
      <c r="E47" s="246" t="s">
        <v>26</v>
      </c>
      <c r="F47" s="247"/>
      <c r="G47" s="247"/>
      <c r="H47" s="247"/>
      <c r="I47" s="247"/>
      <c r="J47" s="248"/>
      <c r="K47" s="130">
        <f>SUM(K5:K46)</f>
        <v>7000000</v>
      </c>
    </row>
    <row r="48" spans="1:11" ht="15.75" thickTop="1" x14ac:dyDescent="0.25">
      <c r="A48" s="84"/>
      <c r="B48" s="96"/>
      <c r="C48" s="97"/>
      <c r="D48" s="98"/>
      <c r="E48" s="98"/>
      <c r="F48" s="98"/>
      <c r="G48" s="98"/>
      <c r="H48" s="98"/>
      <c r="I48" s="98"/>
      <c r="J48" s="98"/>
      <c r="K48" s="99"/>
    </row>
    <row r="49" spans="1:11" x14ac:dyDescent="0.25">
      <c r="A49" s="84"/>
      <c r="B49" s="96"/>
      <c r="C49" s="97"/>
      <c r="D49" s="98"/>
      <c r="E49" s="98"/>
      <c r="F49" s="98"/>
      <c r="G49" s="98"/>
      <c r="H49" s="98"/>
      <c r="I49" s="98"/>
      <c r="J49" s="98"/>
      <c r="K49" s="99"/>
    </row>
    <row r="50" spans="1:11" x14ac:dyDescent="0.25">
      <c r="A50" s="95"/>
      <c r="B50" s="96"/>
      <c r="C50" s="97"/>
      <c r="D50" s="98"/>
      <c r="E50" s="98"/>
      <c r="F50" s="98"/>
      <c r="G50" s="98"/>
      <c r="H50" s="98"/>
      <c r="I50" s="98"/>
      <c r="J50" s="98"/>
      <c r="K50" s="99"/>
    </row>
    <row r="51" spans="1:1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1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1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1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1" ht="63.75" x14ac:dyDescent="0.25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41" t="s">
        <v>18</v>
      </c>
    </row>
    <row r="58" spans="1:11" x14ac:dyDescent="0.25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30"/>
      <c r="K58" s="109"/>
    </row>
    <row r="59" spans="1:11" x14ac:dyDescent="0.25">
      <c r="A59" s="110">
        <v>1</v>
      </c>
      <c r="B59" s="83">
        <v>839959</v>
      </c>
      <c r="C59" s="80">
        <v>45620</v>
      </c>
      <c r="D59" s="80" t="s">
        <v>92</v>
      </c>
      <c r="E59" s="74" t="s">
        <v>298</v>
      </c>
      <c r="F59" s="74" t="s">
        <v>30</v>
      </c>
      <c r="G59" s="74" t="s">
        <v>284</v>
      </c>
      <c r="H59" s="74" t="s">
        <v>32</v>
      </c>
      <c r="I59" s="77">
        <v>46264</v>
      </c>
      <c r="J59" s="74">
        <v>91.199200000000005</v>
      </c>
      <c r="K59" s="111">
        <f>I59*J59</f>
        <v>4219239.7888000002</v>
      </c>
    </row>
    <row r="60" spans="1:11" x14ac:dyDescent="0.25">
      <c r="A60" s="110">
        <v>2</v>
      </c>
      <c r="B60" s="207">
        <v>844221</v>
      </c>
      <c r="C60" s="50">
        <v>45636</v>
      </c>
      <c r="D60" s="49" t="s">
        <v>150</v>
      </c>
      <c r="E60" s="49" t="s">
        <v>151</v>
      </c>
      <c r="F60" s="74" t="s">
        <v>30</v>
      </c>
      <c r="G60" s="74" t="s">
        <v>284</v>
      </c>
      <c r="H60" s="53" t="s">
        <v>33</v>
      </c>
      <c r="I60" s="158">
        <v>47305</v>
      </c>
      <c r="J60" s="74">
        <v>92.059200000000004</v>
      </c>
      <c r="K60" s="111">
        <f t="shared" ref="K60:K79" si="0">I60*J60</f>
        <v>4354860.4560000002</v>
      </c>
    </row>
    <row r="61" spans="1:11" x14ac:dyDescent="0.25">
      <c r="A61" s="110">
        <v>3</v>
      </c>
      <c r="B61" s="74"/>
      <c r="C61" s="157"/>
      <c r="D61" s="80"/>
      <c r="E61" s="74"/>
      <c r="F61" s="74" t="s">
        <v>30</v>
      </c>
      <c r="G61" s="74"/>
      <c r="H61" s="74"/>
      <c r="I61" s="77"/>
      <c r="J61" s="74"/>
      <c r="K61" s="111">
        <f t="shared" si="0"/>
        <v>0</v>
      </c>
    </row>
    <row r="62" spans="1:11" x14ac:dyDescent="0.25">
      <c r="A62" s="110">
        <v>4</v>
      </c>
      <c r="B62" s="74"/>
      <c r="C62" s="157"/>
      <c r="D62" s="80"/>
      <c r="E62" s="74"/>
      <c r="F62" s="74" t="s">
        <v>30</v>
      </c>
      <c r="G62" s="74"/>
      <c r="H62" s="74"/>
      <c r="I62" s="77"/>
      <c r="J62" s="74"/>
      <c r="K62" s="111">
        <f t="shared" si="0"/>
        <v>0</v>
      </c>
    </row>
    <row r="63" spans="1:11" x14ac:dyDescent="0.25">
      <c r="A63" s="110">
        <v>5</v>
      </c>
      <c r="B63" s="83"/>
      <c r="C63" s="80"/>
      <c r="D63" s="80"/>
      <c r="E63" s="74"/>
      <c r="F63" s="74" t="s">
        <v>30</v>
      </c>
      <c r="G63" s="74"/>
      <c r="H63" s="74"/>
      <c r="I63" s="77"/>
      <c r="J63" s="74"/>
      <c r="K63" s="111">
        <f t="shared" si="0"/>
        <v>0</v>
      </c>
    </row>
    <row r="64" spans="1:11" x14ac:dyDescent="0.25">
      <c r="A64" s="110">
        <v>6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>
        <f t="shared" si="0"/>
        <v>0</v>
      </c>
    </row>
    <row r="65" spans="1:11" x14ac:dyDescent="0.25">
      <c r="A65" s="167">
        <v>7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>
        <f t="shared" si="0"/>
        <v>0</v>
      </c>
    </row>
    <row r="66" spans="1:11" x14ac:dyDescent="0.25">
      <c r="A66" s="167">
        <v>8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>
        <f t="shared" si="0"/>
        <v>0</v>
      </c>
    </row>
    <row r="67" spans="1:11" x14ac:dyDescent="0.25">
      <c r="A67" s="167">
        <v>9</v>
      </c>
      <c r="B67" s="85"/>
      <c r="C67" s="86"/>
      <c r="D67" s="80"/>
      <c r="E67" s="74"/>
      <c r="F67" s="74" t="s">
        <v>30</v>
      </c>
      <c r="G67" s="74"/>
      <c r="H67" s="74"/>
      <c r="I67" s="87"/>
      <c r="J67" s="85"/>
      <c r="K67" s="111">
        <f t="shared" si="0"/>
        <v>0</v>
      </c>
    </row>
    <row r="68" spans="1:11" x14ac:dyDescent="0.25">
      <c r="A68" s="167">
        <v>10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>
        <f t="shared" si="0"/>
        <v>0</v>
      </c>
    </row>
    <row r="69" spans="1:11" x14ac:dyDescent="0.25">
      <c r="A69" s="167">
        <v>11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167">
        <v>12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167">
        <v>13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167">
        <v>14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167">
        <v>15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167">
        <v>16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167">
        <v>17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167">
        <v>18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167">
        <v>19</v>
      </c>
      <c r="B77" s="74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167">
        <v>20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>
        <f t="shared" si="0"/>
        <v>0</v>
      </c>
    </row>
    <row r="79" spans="1:11" x14ac:dyDescent="0.25">
      <c r="A79" s="167">
        <v>21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167">
        <v>22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/>
    </row>
    <row r="81" spans="1:11" x14ac:dyDescent="0.25">
      <c r="A81" s="167">
        <v>23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/>
    </row>
    <row r="82" spans="1:11" x14ac:dyDescent="0.25">
      <c r="A82" s="167">
        <v>24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/>
    </row>
    <row r="83" spans="1:11" x14ac:dyDescent="0.25">
      <c r="A83" s="167">
        <v>25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/>
    </row>
    <row r="84" spans="1:11" x14ac:dyDescent="0.25">
      <c r="A84" s="167">
        <v>26</v>
      </c>
      <c r="B84" s="112"/>
      <c r="C84" s="113"/>
      <c r="D84" s="112"/>
      <c r="E84" s="112"/>
      <c r="F84" s="74" t="s">
        <v>30</v>
      </c>
      <c r="G84" s="135"/>
      <c r="H84" s="85"/>
      <c r="I84" s="136"/>
      <c r="J84" s="85"/>
      <c r="K84" s="114"/>
    </row>
    <row r="85" spans="1:11" x14ac:dyDescent="0.25">
      <c r="A85" s="231" t="s">
        <v>37</v>
      </c>
      <c r="B85" s="231"/>
      <c r="C85" s="231"/>
      <c r="D85" s="231"/>
      <c r="E85" s="231"/>
      <c r="F85" s="117"/>
      <c r="G85" s="117"/>
      <c r="H85" s="117"/>
      <c r="I85" s="118"/>
      <c r="J85" s="119"/>
      <c r="K85" s="120">
        <f>SUM(K59:K84)</f>
        <v>8574100.2448000014</v>
      </c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5.75" thickBo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38</v>
      </c>
      <c r="F91" s="121"/>
      <c r="G91" s="121"/>
      <c r="H91" s="122"/>
      <c r="I91" s="122"/>
      <c r="J91" s="122"/>
      <c r="K91" s="123">
        <f>K85</f>
        <v>8574100.2448000014</v>
      </c>
    </row>
    <row r="92" spans="1:11" ht="16.5" thickTop="1" thickBot="1" x14ac:dyDescent="0.3">
      <c r="A92" s="72"/>
      <c r="B92" s="72"/>
      <c r="C92" s="72"/>
      <c r="D92" s="72"/>
      <c r="E92" s="33"/>
      <c r="F92" s="33"/>
      <c r="G92" s="33"/>
      <c r="H92" s="72"/>
      <c r="I92" s="72"/>
      <c r="J92" s="72"/>
      <c r="K92" s="72"/>
    </row>
    <row r="93" spans="1:11" ht="16.5" thickTop="1" thickBot="1" x14ac:dyDescent="0.3">
      <c r="A93" s="72"/>
      <c r="B93" s="72"/>
      <c r="C93" s="72"/>
      <c r="D93" s="72"/>
      <c r="E93" s="121" t="s">
        <v>40</v>
      </c>
      <c r="F93" s="121"/>
      <c r="G93" s="121"/>
      <c r="H93" s="122"/>
      <c r="I93" s="122"/>
      <c r="J93" s="122"/>
      <c r="K93" s="124">
        <f>K47-K91</f>
        <v>-1574100.2448000014</v>
      </c>
    </row>
    <row r="94" spans="1:11" ht="15.75" thickTop="1" x14ac:dyDescent="0.25"/>
  </sheetData>
  <mergeCells count="24">
    <mergeCell ref="A85:E85"/>
    <mergeCell ref="E4:J4"/>
    <mergeCell ref="E5:J5"/>
    <mergeCell ref="E7:J7"/>
    <mergeCell ref="E46:J46"/>
    <mergeCell ref="E47:J47"/>
    <mergeCell ref="I57:I58"/>
    <mergeCell ref="J57:J58"/>
    <mergeCell ref="E6:J6"/>
    <mergeCell ref="E8:J8"/>
    <mergeCell ref="E9:J9"/>
    <mergeCell ref="E10:J10"/>
    <mergeCell ref="E11:J11"/>
    <mergeCell ref="E12:J12"/>
    <mergeCell ref="E13:J13"/>
    <mergeCell ref="E14:J14"/>
    <mergeCell ref="E20:J20"/>
    <mergeCell ref="E21:J21"/>
    <mergeCell ref="E22:J22"/>
    <mergeCell ref="E15:J15"/>
    <mergeCell ref="E16:J16"/>
    <mergeCell ref="E17:J17"/>
    <mergeCell ref="E18:J18"/>
    <mergeCell ref="E19:J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K93"/>
  <sheetViews>
    <sheetView topLeftCell="A64" workbookViewId="0">
      <selection activeCell="K9" sqref="K9"/>
    </sheetView>
  </sheetViews>
  <sheetFormatPr defaultRowHeight="15" x14ac:dyDescent="0.25"/>
  <cols>
    <col min="1" max="1" width="2.85546875" customWidth="1"/>
    <col min="2" max="2" width="8.42578125" customWidth="1"/>
    <col min="3" max="3" width="10" customWidth="1"/>
    <col min="4" max="4" width="16.85546875" customWidth="1"/>
    <col min="5" max="5" width="13.28515625" customWidth="1"/>
    <col min="8" max="8" width="5.28515625" customWidth="1"/>
    <col min="9" max="9" width="10.85546875" customWidth="1"/>
    <col min="11" max="11" width="15.28515625" customWidth="1"/>
  </cols>
  <sheetData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125">
        <v>1</v>
      </c>
      <c r="B5" s="80">
        <v>45604</v>
      </c>
      <c r="C5" s="78" t="s">
        <v>25</v>
      </c>
      <c r="D5" s="76" t="s">
        <v>259</v>
      </c>
      <c r="E5" s="232" t="s">
        <v>78</v>
      </c>
      <c r="F5" s="232"/>
      <c r="G5" s="232"/>
      <c r="H5" s="232"/>
      <c r="I5" s="232"/>
      <c r="J5" s="232"/>
      <c r="K5" s="77">
        <v>3300000</v>
      </c>
    </row>
    <row r="6" spans="1:11" x14ac:dyDescent="0.25">
      <c r="A6" s="72">
        <v>2</v>
      </c>
      <c r="B6" s="80">
        <v>45604</v>
      </c>
      <c r="C6" s="145" t="s">
        <v>24</v>
      </c>
      <c r="D6" s="76" t="s">
        <v>86</v>
      </c>
      <c r="E6" s="232" t="s">
        <v>78</v>
      </c>
      <c r="F6" s="232"/>
      <c r="G6" s="232"/>
      <c r="H6" s="232"/>
      <c r="I6" s="232"/>
      <c r="J6" s="232"/>
      <c r="K6" s="77">
        <v>1000000</v>
      </c>
    </row>
    <row r="7" spans="1:11" x14ac:dyDescent="0.25">
      <c r="A7" s="153">
        <v>2</v>
      </c>
      <c r="B7" s="80">
        <v>45614</v>
      </c>
      <c r="C7" t="s">
        <v>25</v>
      </c>
      <c r="D7" s="76" t="s">
        <v>280</v>
      </c>
      <c r="E7" s="232" t="s">
        <v>279</v>
      </c>
      <c r="F7" s="232"/>
      <c r="G7" s="232"/>
      <c r="H7" s="232"/>
      <c r="I7" s="232"/>
      <c r="J7" s="232"/>
      <c r="K7" s="77">
        <v>2000000</v>
      </c>
    </row>
    <row r="8" spans="1:11" x14ac:dyDescent="0.25">
      <c r="A8" s="154">
        <v>3</v>
      </c>
      <c r="B8" s="80">
        <v>45614</v>
      </c>
      <c r="C8" s="145" t="s">
        <v>24</v>
      </c>
      <c r="D8" s="76" t="s">
        <v>86</v>
      </c>
      <c r="E8" s="232" t="s">
        <v>279</v>
      </c>
      <c r="F8" s="232"/>
      <c r="G8" s="232"/>
      <c r="H8" s="232"/>
      <c r="I8" s="232"/>
      <c r="J8" s="232"/>
      <c r="K8" s="77">
        <v>2100000</v>
      </c>
    </row>
    <row r="9" spans="1:11" x14ac:dyDescent="0.25">
      <c r="A9" s="154">
        <v>4</v>
      </c>
      <c r="B9" s="80"/>
      <c r="C9" s="145"/>
      <c r="D9" s="76"/>
      <c r="E9" s="126"/>
      <c r="F9" s="127"/>
      <c r="G9" s="127"/>
      <c r="H9" s="127"/>
      <c r="I9" s="127"/>
      <c r="J9" s="128"/>
      <c r="K9" s="77"/>
    </row>
    <row r="10" spans="1:11" x14ac:dyDescent="0.25">
      <c r="A10" s="153">
        <v>5</v>
      </c>
      <c r="B10" s="80"/>
      <c r="C10" s="145"/>
      <c r="D10" s="76"/>
      <c r="E10" s="126"/>
      <c r="F10" s="127"/>
      <c r="G10" s="127"/>
      <c r="H10" s="127"/>
      <c r="I10" s="127"/>
      <c r="J10" s="128"/>
      <c r="K10" s="77"/>
    </row>
    <row r="11" spans="1:11" x14ac:dyDescent="0.25">
      <c r="A11" s="154">
        <v>6</v>
      </c>
      <c r="B11" s="80"/>
      <c r="C11" s="145"/>
      <c r="D11" s="76"/>
      <c r="E11" s="126"/>
      <c r="F11" s="127"/>
      <c r="G11" s="127"/>
      <c r="H11" s="127"/>
      <c r="I11" s="127"/>
      <c r="J11" s="128"/>
      <c r="K11" s="77"/>
    </row>
    <row r="12" spans="1:11" x14ac:dyDescent="0.25">
      <c r="A12" s="154">
        <v>7</v>
      </c>
      <c r="B12" s="80"/>
      <c r="C12" s="145"/>
      <c r="D12" s="76"/>
      <c r="E12" s="126"/>
      <c r="F12" s="127"/>
      <c r="G12" s="127"/>
      <c r="H12" s="127"/>
      <c r="I12" s="127"/>
      <c r="J12" s="128"/>
      <c r="K12" s="77"/>
    </row>
    <row r="13" spans="1:11" x14ac:dyDescent="0.25">
      <c r="A13" s="153">
        <v>8</v>
      </c>
      <c r="B13" s="80"/>
      <c r="C13" s="145"/>
      <c r="D13" s="76"/>
      <c r="E13" s="126"/>
      <c r="F13" s="127"/>
      <c r="G13" s="127"/>
      <c r="H13" s="127"/>
      <c r="I13" s="127"/>
      <c r="J13" s="128"/>
      <c r="K13" s="77"/>
    </row>
    <row r="14" spans="1:11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1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1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76"/>
      <c r="G45" s="76"/>
      <c r="H45" s="76"/>
      <c r="I45" s="76"/>
      <c r="J45" s="76"/>
      <c r="K45" s="77"/>
    </row>
    <row r="46" spans="1:11" x14ac:dyDescent="0.25">
      <c r="A46" s="84">
        <v>41</v>
      </c>
      <c r="B46" s="93"/>
      <c r="C46" s="90"/>
      <c r="D46" s="76"/>
      <c r="E46" s="76"/>
      <c r="F46" s="74"/>
      <c r="G46" s="74"/>
      <c r="H46" s="74"/>
      <c r="I46" s="74"/>
      <c r="J46" s="74"/>
      <c r="K46" s="74"/>
    </row>
    <row r="47" spans="1:11" x14ac:dyDescent="0.25">
      <c r="A47" s="74"/>
      <c r="B47" s="74"/>
      <c r="C47" s="74"/>
      <c r="D47" s="74"/>
      <c r="E47" s="74"/>
      <c r="F47" s="76"/>
      <c r="G47" s="76"/>
      <c r="H47" s="76"/>
      <c r="I47" s="76"/>
      <c r="J47" s="76"/>
      <c r="K47" s="92"/>
    </row>
    <row r="48" spans="1:11" x14ac:dyDescent="0.25">
      <c r="A48" s="88"/>
      <c r="B48" s="93"/>
      <c r="C48" s="90"/>
      <c r="D48" s="76"/>
      <c r="E48" s="76"/>
      <c r="F48" s="76"/>
      <c r="G48" s="76"/>
      <c r="H48" s="76"/>
      <c r="I48" s="76"/>
      <c r="J48" s="76"/>
      <c r="K48" s="92"/>
    </row>
    <row r="49" spans="1:11" x14ac:dyDescent="0.25">
      <c r="A49" s="88"/>
      <c r="B49" s="93"/>
      <c r="C49" s="90"/>
      <c r="D49" s="74"/>
      <c r="E49" s="74"/>
      <c r="F49" s="74"/>
      <c r="G49" s="74"/>
      <c r="H49" s="74"/>
      <c r="I49" s="74"/>
      <c r="J49" s="74"/>
      <c r="K49" s="74"/>
    </row>
    <row r="50" spans="1:11" x14ac:dyDescent="0.25">
      <c r="A50" s="84"/>
      <c r="B50" s="94"/>
      <c r="C50" s="85"/>
      <c r="D50" s="194" t="s">
        <v>26</v>
      </c>
      <c r="E50" s="195"/>
      <c r="F50" s="195"/>
      <c r="G50" s="195"/>
      <c r="H50" s="195"/>
      <c r="I50" s="195"/>
      <c r="J50" s="196"/>
      <c r="K50" s="197">
        <f>SUM(K5:K45)</f>
        <v>8400000</v>
      </c>
    </row>
    <row r="51" spans="1:1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I53" s="98"/>
      <c r="J53" s="98"/>
      <c r="K53" s="99"/>
    </row>
    <row r="54" spans="1:11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1" ht="15.75" thickBot="1" x14ac:dyDescent="0.3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1" ht="63.75" x14ac:dyDescent="0.25">
      <c r="A56" s="102" t="s">
        <v>1</v>
      </c>
      <c r="B56" s="37" t="s">
        <v>10</v>
      </c>
      <c r="C56" s="103" t="s">
        <v>11</v>
      </c>
      <c r="D56" s="103"/>
      <c r="E56" s="103" t="s">
        <v>28</v>
      </c>
      <c r="F56" s="104" t="s">
        <v>13</v>
      </c>
      <c r="G56" s="104" t="s">
        <v>14</v>
      </c>
      <c r="H56" s="103" t="s">
        <v>15</v>
      </c>
      <c r="I56" s="227" t="s">
        <v>16</v>
      </c>
      <c r="J56" s="229" t="s">
        <v>29</v>
      </c>
      <c r="K56" s="41" t="s">
        <v>18</v>
      </c>
    </row>
    <row r="57" spans="1:11" x14ac:dyDescent="0.25">
      <c r="A57" s="105"/>
      <c r="B57" s="106"/>
      <c r="C57" s="107"/>
      <c r="D57" s="108" t="s">
        <v>19</v>
      </c>
      <c r="E57" s="107"/>
      <c r="F57" s="108"/>
      <c r="G57" s="108"/>
      <c r="H57" s="107"/>
      <c r="I57" s="228"/>
      <c r="J57" s="230"/>
      <c r="K57" s="109"/>
    </row>
    <row r="58" spans="1:11" x14ac:dyDescent="0.25">
      <c r="A58" s="74">
        <v>1</v>
      </c>
      <c r="B58" s="193">
        <v>834611</v>
      </c>
      <c r="C58" s="50">
        <v>45607</v>
      </c>
      <c r="D58" s="49" t="s">
        <v>35</v>
      </c>
      <c r="E58" s="49" t="s">
        <v>36</v>
      </c>
      <c r="F58" s="74" t="s">
        <v>30</v>
      </c>
      <c r="G58" s="56" t="s">
        <v>267</v>
      </c>
      <c r="H58" s="53" t="s">
        <v>32</v>
      </c>
      <c r="I58" s="158">
        <v>48475</v>
      </c>
      <c r="J58" s="74">
        <v>91.299199999999999</v>
      </c>
      <c r="K58" s="111">
        <f>I58*J58</f>
        <v>4425728.72</v>
      </c>
    </row>
    <row r="59" spans="1:11" x14ac:dyDescent="0.25">
      <c r="A59" s="110">
        <v>2</v>
      </c>
      <c r="B59" s="49">
        <v>838249</v>
      </c>
      <c r="C59" s="50">
        <v>45618</v>
      </c>
      <c r="D59" s="49" t="s">
        <v>150</v>
      </c>
      <c r="E59" s="49" t="s">
        <v>151</v>
      </c>
      <c r="F59" s="74" t="s">
        <v>30</v>
      </c>
      <c r="G59" s="56" t="s">
        <v>267</v>
      </c>
      <c r="H59" s="53" t="s">
        <v>33</v>
      </c>
      <c r="I59" s="158">
        <v>47340</v>
      </c>
      <c r="J59">
        <v>92.159199999999998</v>
      </c>
      <c r="K59" s="111">
        <f t="shared" ref="K59" si="0">I59*J59</f>
        <v>4362816.5279999999</v>
      </c>
    </row>
    <row r="60" spans="1:11" x14ac:dyDescent="0.25">
      <c r="A60" s="74">
        <v>3</v>
      </c>
      <c r="B60" s="74"/>
      <c r="C60" s="75"/>
      <c r="D60" s="80"/>
      <c r="F60" s="74" t="s">
        <v>30</v>
      </c>
      <c r="G60" s="74"/>
      <c r="H60" s="74"/>
      <c r="I60" s="77"/>
      <c r="J60" s="74"/>
      <c r="K60" s="111">
        <f t="shared" ref="K60:K83" si="1">I60*J60</f>
        <v>0</v>
      </c>
    </row>
    <row r="61" spans="1:11" x14ac:dyDescent="0.25">
      <c r="A61" s="110">
        <v>4</v>
      </c>
      <c r="B61" s="74"/>
      <c r="C61" s="157"/>
      <c r="D61" s="80"/>
      <c r="E61" s="74"/>
      <c r="F61" s="74" t="s">
        <v>30</v>
      </c>
      <c r="G61" s="74"/>
      <c r="H61" s="74"/>
      <c r="I61" s="77"/>
      <c r="J61" s="74"/>
      <c r="K61" s="111">
        <f t="shared" si="1"/>
        <v>0</v>
      </c>
    </row>
    <row r="62" spans="1:11" x14ac:dyDescent="0.25">
      <c r="A62" s="74">
        <v>5</v>
      </c>
      <c r="B62" s="83"/>
      <c r="C62" s="80"/>
      <c r="D62" s="80"/>
      <c r="E62" s="74"/>
      <c r="F62" s="74" t="s">
        <v>30</v>
      </c>
      <c r="G62" s="74"/>
      <c r="H62" s="74"/>
      <c r="I62" s="77"/>
      <c r="J62" s="74"/>
      <c r="K62" s="111">
        <f t="shared" si="1"/>
        <v>0</v>
      </c>
    </row>
    <row r="63" spans="1:11" x14ac:dyDescent="0.25">
      <c r="A63" s="110">
        <v>6</v>
      </c>
      <c r="B63" s="83"/>
      <c r="C63" s="80"/>
      <c r="D63" s="80"/>
      <c r="E63" s="74"/>
      <c r="F63" s="74" t="s">
        <v>30</v>
      </c>
      <c r="G63" s="74"/>
      <c r="H63" s="74"/>
      <c r="I63" s="77"/>
      <c r="J63" s="74"/>
      <c r="K63" s="111">
        <f t="shared" si="1"/>
        <v>0</v>
      </c>
    </row>
    <row r="64" spans="1:11" x14ac:dyDescent="0.25">
      <c r="A64" s="74">
        <v>7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>
        <f t="shared" si="1"/>
        <v>0</v>
      </c>
    </row>
    <row r="65" spans="1:11" x14ac:dyDescent="0.25">
      <c r="A65" s="110">
        <v>8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>
        <f t="shared" si="1"/>
        <v>0</v>
      </c>
    </row>
    <row r="66" spans="1:11" x14ac:dyDescent="0.25">
      <c r="A66" s="74">
        <v>9</v>
      </c>
      <c r="B66" s="83"/>
      <c r="C66" s="80"/>
      <c r="D66" s="80"/>
      <c r="E66" s="74"/>
      <c r="F66" s="74" t="s">
        <v>30</v>
      </c>
      <c r="G66" s="74"/>
      <c r="H66" s="74"/>
      <c r="I66" s="87"/>
      <c r="J66" s="85"/>
      <c r="K66" s="111">
        <f t="shared" si="1"/>
        <v>0</v>
      </c>
    </row>
    <row r="67" spans="1:11" x14ac:dyDescent="0.25">
      <c r="A67" s="110">
        <v>10</v>
      </c>
      <c r="B67" s="85"/>
      <c r="C67" s="86"/>
      <c r="D67" s="80"/>
      <c r="E67" s="74"/>
      <c r="F67" s="74" t="s">
        <v>30</v>
      </c>
      <c r="G67" s="74"/>
      <c r="H67" s="74"/>
      <c r="I67" s="77"/>
      <c r="J67" s="74"/>
      <c r="K67" s="111">
        <f t="shared" si="1"/>
        <v>0</v>
      </c>
    </row>
    <row r="68" spans="1:11" x14ac:dyDescent="0.25">
      <c r="A68" s="74">
        <v>11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>
        <f t="shared" si="1"/>
        <v>0</v>
      </c>
    </row>
    <row r="69" spans="1:11" x14ac:dyDescent="0.25">
      <c r="A69" s="110">
        <v>12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1"/>
        <v>0</v>
      </c>
    </row>
    <row r="70" spans="1:11" x14ac:dyDescent="0.25">
      <c r="A70" s="74">
        <v>13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>
        <f t="shared" si="1"/>
        <v>0</v>
      </c>
    </row>
    <row r="71" spans="1:11" x14ac:dyDescent="0.25">
      <c r="A71" s="110">
        <v>14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>
        <f t="shared" si="1"/>
        <v>0</v>
      </c>
    </row>
    <row r="72" spans="1:11" x14ac:dyDescent="0.25">
      <c r="A72" s="74">
        <v>15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1"/>
        <v>0</v>
      </c>
    </row>
    <row r="73" spans="1:11" x14ac:dyDescent="0.25">
      <c r="A73" s="110">
        <v>16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1"/>
        <v>0</v>
      </c>
    </row>
    <row r="74" spans="1:11" x14ac:dyDescent="0.25">
      <c r="A74" s="74">
        <v>17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1"/>
        <v>0</v>
      </c>
    </row>
    <row r="75" spans="1:11" x14ac:dyDescent="0.25">
      <c r="A75" s="110">
        <v>18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1"/>
        <v>0</v>
      </c>
    </row>
    <row r="76" spans="1:11" x14ac:dyDescent="0.25">
      <c r="A76" s="74">
        <v>19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1"/>
        <v>0</v>
      </c>
    </row>
    <row r="77" spans="1:11" x14ac:dyDescent="0.25">
      <c r="A77" s="110">
        <v>20</v>
      </c>
      <c r="B77" s="74"/>
      <c r="C77" s="80"/>
      <c r="D77" s="80"/>
      <c r="E77" s="74"/>
      <c r="F77" s="74" t="s">
        <v>30</v>
      </c>
      <c r="G77" s="74"/>
      <c r="H77" s="74"/>
      <c r="I77" s="134"/>
      <c r="J77" s="74"/>
      <c r="K77" s="111">
        <f t="shared" si="1"/>
        <v>0</v>
      </c>
    </row>
    <row r="78" spans="1:11" x14ac:dyDescent="0.25">
      <c r="A78" s="74">
        <v>21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>
        <f t="shared" si="1"/>
        <v>0</v>
      </c>
    </row>
    <row r="79" spans="1:11" x14ac:dyDescent="0.25">
      <c r="A79" s="110">
        <v>22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1"/>
        <v>0</v>
      </c>
    </row>
    <row r="80" spans="1:11" x14ac:dyDescent="0.25">
      <c r="A80" s="74">
        <v>23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1"/>
        <v>0</v>
      </c>
    </row>
    <row r="81" spans="1:11" x14ac:dyDescent="0.25">
      <c r="A81" s="110">
        <v>24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1"/>
        <v>0</v>
      </c>
    </row>
    <row r="82" spans="1:11" x14ac:dyDescent="0.25">
      <c r="A82" s="74">
        <v>25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1"/>
        <v>0</v>
      </c>
    </row>
    <row r="83" spans="1:11" x14ac:dyDescent="0.25">
      <c r="A83" s="167">
        <v>26</v>
      </c>
      <c r="B83" s="74"/>
      <c r="C83" s="80"/>
      <c r="D83" s="80"/>
      <c r="E83" s="74"/>
      <c r="F83" s="74" t="s">
        <v>30</v>
      </c>
      <c r="G83" s="135"/>
      <c r="H83" s="85"/>
      <c r="I83" s="136"/>
      <c r="J83" s="85"/>
      <c r="K83" s="111">
        <f t="shared" si="1"/>
        <v>0</v>
      </c>
    </row>
    <row r="84" spans="1:11" x14ac:dyDescent="0.25">
      <c r="B84" s="231" t="s">
        <v>37</v>
      </c>
      <c r="C84" s="231"/>
      <c r="D84" s="231"/>
      <c r="E84" s="231"/>
      <c r="F84" s="231"/>
      <c r="G84" s="117"/>
      <c r="H84" s="117"/>
      <c r="I84" s="118"/>
      <c r="J84" s="119"/>
      <c r="K84" s="120">
        <f>SUM(K58:K83)</f>
        <v>8788545.2479999997</v>
      </c>
    </row>
    <row r="85" spans="1:11" x14ac:dyDescent="0.25">
      <c r="F85" s="72"/>
      <c r="G85" s="72"/>
      <c r="H85" s="72"/>
      <c r="I85" s="72"/>
      <c r="J85" s="72"/>
      <c r="K85" s="72"/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ht="15.75" thickBot="1" x14ac:dyDescent="0.3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6.5" thickTop="1" thickBot="1" x14ac:dyDescent="0.3">
      <c r="A90" s="72"/>
      <c r="B90" s="72"/>
      <c r="C90" s="72"/>
      <c r="D90" s="72"/>
      <c r="E90" s="121" t="s">
        <v>38</v>
      </c>
      <c r="F90" s="122"/>
      <c r="G90" s="122"/>
      <c r="H90" s="122"/>
      <c r="I90" s="122"/>
      <c r="J90" s="122"/>
      <c r="K90" s="123">
        <f>K84</f>
        <v>8788545.2479999997</v>
      </c>
    </row>
    <row r="91" spans="1:11" ht="16.5" thickTop="1" thickBot="1" x14ac:dyDescent="0.3">
      <c r="A91" s="72"/>
      <c r="B91" s="72"/>
      <c r="C91" s="72"/>
      <c r="D91" s="72"/>
      <c r="H91" s="72"/>
      <c r="I91" s="72"/>
      <c r="J91" s="72"/>
      <c r="K91" s="72"/>
    </row>
    <row r="92" spans="1:11" ht="16.5" thickTop="1" thickBot="1" x14ac:dyDescent="0.3">
      <c r="A92" s="72"/>
      <c r="B92" s="72"/>
      <c r="C92" s="72"/>
      <c r="D92" s="72"/>
      <c r="E92" s="121" t="s">
        <v>40</v>
      </c>
      <c r="F92" s="122"/>
      <c r="G92" s="122"/>
      <c r="H92" s="122"/>
      <c r="I92" s="122"/>
      <c r="J92" s="122"/>
      <c r="K92" s="124">
        <f>K50-K90</f>
        <v>-388545.24799999967</v>
      </c>
    </row>
    <row r="93" spans="1:11" ht="15.75" thickTop="1" x14ac:dyDescent="0.25">
      <c r="A93" s="72"/>
      <c r="B93" s="72"/>
      <c r="C93" s="72"/>
      <c r="D93" s="72"/>
    </row>
  </sheetData>
  <mergeCells count="8">
    <mergeCell ref="B84:F84"/>
    <mergeCell ref="E4:J4"/>
    <mergeCell ref="E5:J5"/>
    <mergeCell ref="E7:J7"/>
    <mergeCell ref="I56:I57"/>
    <mergeCell ref="J56:J57"/>
    <mergeCell ref="E8:J8"/>
    <mergeCell ref="E6:J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P94"/>
  <sheetViews>
    <sheetView topLeftCell="A70" workbookViewId="0">
      <selection activeCell="B11" sqref="B11"/>
    </sheetView>
  </sheetViews>
  <sheetFormatPr defaultRowHeight="15" x14ac:dyDescent="0.25"/>
  <cols>
    <col min="1" max="1" width="3.7109375" customWidth="1"/>
    <col min="2" max="2" width="8.42578125" customWidth="1"/>
    <col min="3" max="3" width="9.7109375" customWidth="1"/>
    <col min="4" max="4" width="16.7109375" customWidth="1"/>
    <col min="5" max="5" width="13" customWidth="1"/>
    <col min="6" max="6" width="7.5703125" customWidth="1"/>
    <col min="7" max="7" width="6.85546875" customWidth="1"/>
    <col min="8" max="8" width="4.85546875" customWidth="1"/>
    <col min="9" max="9" width="10.42578125" customWidth="1"/>
    <col min="10" max="10" width="8.140625" customWidth="1"/>
    <col min="11" max="11" width="14" customWidth="1"/>
  </cols>
  <sheetData>
    <row r="2" spans="1:16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6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6" ht="27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6" x14ac:dyDescent="0.25">
      <c r="A5" s="154">
        <v>1</v>
      </c>
      <c r="B5" s="80">
        <v>45533</v>
      </c>
      <c r="C5" s="78" t="s">
        <v>25</v>
      </c>
      <c r="D5" s="76" t="s">
        <v>157</v>
      </c>
      <c r="E5" s="232" t="s">
        <v>158</v>
      </c>
      <c r="F5" s="232"/>
      <c r="G5" s="232"/>
      <c r="H5" s="232"/>
      <c r="I5" s="232"/>
      <c r="J5" s="236"/>
      <c r="K5" s="140">
        <v>2000000</v>
      </c>
    </row>
    <row r="6" spans="1:16" x14ac:dyDescent="0.25">
      <c r="A6" s="72">
        <v>2</v>
      </c>
      <c r="B6" s="86">
        <v>45538</v>
      </c>
      <c r="C6" s="78" t="s">
        <v>25</v>
      </c>
      <c r="D6" s="76" t="s">
        <v>179</v>
      </c>
      <c r="E6" s="72" t="s">
        <v>158</v>
      </c>
      <c r="F6" s="91"/>
      <c r="G6" s="178"/>
      <c r="H6" s="178"/>
      <c r="I6" s="178"/>
      <c r="J6" s="178"/>
      <c r="K6" s="140">
        <v>1200000</v>
      </c>
    </row>
    <row r="7" spans="1:16" x14ac:dyDescent="0.25">
      <c r="A7" s="153">
        <v>2</v>
      </c>
      <c r="B7" s="80">
        <v>45548</v>
      </c>
      <c r="C7" s="78" t="s">
        <v>25</v>
      </c>
      <c r="D7" s="76" t="s">
        <v>194</v>
      </c>
      <c r="E7" s="232" t="s">
        <v>78</v>
      </c>
      <c r="F7" s="232"/>
      <c r="G7" s="232"/>
      <c r="H7" s="232"/>
      <c r="I7" s="232"/>
      <c r="J7" s="232"/>
      <c r="K7" s="77">
        <v>4000000</v>
      </c>
    </row>
    <row r="8" spans="1:16" x14ac:dyDescent="0.25">
      <c r="A8" s="154">
        <v>3</v>
      </c>
      <c r="B8" s="86">
        <v>45567</v>
      </c>
      <c r="C8" s="78" t="s">
        <v>25</v>
      </c>
      <c r="D8" s="76"/>
      <c r="E8" s="232" t="s">
        <v>78</v>
      </c>
      <c r="F8" s="232"/>
      <c r="G8" s="232"/>
      <c r="H8" s="232"/>
      <c r="I8" s="232"/>
      <c r="J8" s="232"/>
      <c r="K8" s="77">
        <v>4000000</v>
      </c>
    </row>
    <row r="9" spans="1:16" x14ac:dyDescent="0.25">
      <c r="A9" s="154">
        <v>4</v>
      </c>
      <c r="B9" s="80">
        <v>45625</v>
      </c>
      <c r="C9" s="78" t="s">
        <v>25</v>
      </c>
      <c r="D9" s="76" t="s">
        <v>294</v>
      </c>
      <c r="E9" s="232" t="s">
        <v>78</v>
      </c>
      <c r="F9" s="232"/>
      <c r="G9" s="232"/>
      <c r="H9" s="232"/>
      <c r="I9" s="232"/>
      <c r="J9" s="232"/>
      <c r="K9" s="77">
        <v>3500000</v>
      </c>
      <c r="P9" s="191"/>
    </row>
    <row r="10" spans="1:16" x14ac:dyDescent="0.25">
      <c r="A10" s="153">
        <v>5</v>
      </c>
      <c r="B10" s="80">
        <v>45625</v>
      </c>
      <c r="C10" s="145" t="s">
        <v>24</v>
      </c>
      <c r="D10" s="76" t="s">
        <v>86</v>
      </c>
      <c r="E10" s="232" t="s">
        <v>78</v>
      </c>
      <c r="F10" s="232"/>
      <c r="G10" s="232"/>
      <c r="H10" s="232"/>
      <c r="I10" s="232"/>
      <c r="J10" s="232"/>
      <c r="K10" s="77">
        <v>600000</v>
      </c>
    </row>
    <row r="11" spans="1:16" x14ac:dyDescent="0.25">
      <c r="A11" s="154">
        <v>6</v>
      </c>
      <c r="B11" s="80">
        <v>45651</v>
      </c>
      <c r="C11" s="145" t="s">
        <v>80</v>
      </c>
      <c r="D11" s="76" t="s">
        <v>325</v>
      </c>
      <c r="E11" s="232" t="s">
        <v>78</v>
      </c>
      <c r="F11" s="232"/>
      <c r="G11" s="232"/>
      <c r="H11" s="232"/>
      <c r="I11" s="232"/>
      <c r="J11" s="232"/>
      <c r="K11" s="77">
        <v>12000000</v>
      </c>
    </row>
    <row r="12" spans="1:16" x14ac:dyDescent="0.25">
      <c r="A12" s="154">
        <v>7</v>
      </c>
      <c r="B12" s="80"/>
      <c r="C12" s="145"/>
      <c r="D12" s="76"/>
      <c r="E12" s="126"/>
      <c r="F12" s="127"/>
      <c r="G12" s="127"/>
      <c r="H12" s="127"/>
      <c r="I12" s="127"/>
      <c r="J12" s="128"/>
      <c r="K12" s="77"/>
    </row>
    <row r="13" spans="1:16" x14ac:dyDescent="0.25">
      <c r="A13" s="153">
        <v>8</v>
      </c>
      <c r="B13" s="80"/>
      <c r="C13" s="145"/>
      <c r="D13" s="76"/>
      <c r="E13" s="126"/>
      <c r="F13" s="127"/>
      <c r="G13" s="127"/>
      <c r="H13" s="127"/>
      <c r="I13" s="127"/>
      <c r="J13" s="128"/>
      <c r="K13" s="77"/>
    </row>
    <row r="14" spans="1:16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6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6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8">
        <v>41</v>
      </c>
      <c r="B46" s="93"/>
      <c r="C46" s="90"/>
      <c r="D46" s="76"/>
      <c r="E46" s="232"/>
      <c r="F46" s="232"/>
      <c r="G46" s="232"/>
      <c r="H46" s="232"/>
      <c r="I46" s="232"/>
      <c r="J46" s="232"/>
      <c r="K46" s="77"/>
    </row>
    <row r="47" spans="1:11" x14ac:dyDescent="0.25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</row>
    <row r="48" spans="1:11" x14ac:dyDescent="0.25">
      <c r="A48" s="88"/>
      <c r="B48" s="93"/>
      <c r="C48" s="90"/>
      <c r="D48" s="76"/>
      <c r="E48" s="76"/>
      <c r="F48" s="76"/>
      <c r="G48" s="76"/>
      <c r="H48" s="76"/>
      <c r="I48" s="76"/>
      <c r="J48" s="76"/>
      <c r="K48" s="92"/>
    </row>
    <row r="49" spans="1:11" x14ac:dyDescent="0.25">
      <c r="A49" s="88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1" ht="15.75" thickBot="1" x14ac:dyDescent="0.3">
      <c r="A50" s="84"/>
      <c r="B50" s="94"/>
      <c r="C50" s="85"/>
      <c r="D50" s="85"/>
      <c r="E50" s="246" t="s">
        <v>26</v>
      </c>
      <c r="F50" s="247"/>
      <c r="G50" s="247"/>
      <c r="H50" s="247"/>
      <c r="I50" s="247"/>
      <c r="J50" s="248"/>
      <c r="K50" s="130">
        <f>SUM(K6:K46)</f>
        <v>25300000</v>
      </c>
    </row>
    <row r="51" spans="1:11" ht="15.75" thickTop="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1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1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1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1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1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1" ht="63.75" x14ac:dyDescent="0.25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41" t="s">
        <v>18</v>
      </c>
    </row>
    <row r="58" spans="1:11" x14ac:dyDescent="0.25">
      <c r="A58" s="105"/>
      <c r="B58" s="106"/>
      <c r="C58" s="107"/>
      <c r="D58" s="108" t="s">
        <v>19</v>
      </c>
      <c r="E58" s="107"/>
      <c r="F58" s="108"/>
      <c r="G58" s="108"/>
      <c r="H58" s="107"/>
      <c r="I58" s="249"/>
      <c r="J58" s="250"/>
      <c r="K58" s="109"/>
    </row>
    <row r="59" spans="1:11" x14ac:dyDescent="0.25">
      <c r="A59" s="110">
        <v>1</v>
      </c>
      <c r="B59" s="83">
        <v>797987</v>
      </c>
      <c r="C59" s="80">
        <v>45503</v>
      </c>
      <c r="D59" s="80" t="s">
        <v>48</v>
      </c>
      <c r="E59" s="74" t="s">
        <v>49</v>
      </c>
      <c r="F59" s="74" t="s">
        <v>30</v>
      </c>
      <c r="G59" s="74" t="s">
        <v>98</v>
      </c>
      <c r="H59" s="74" t="s">
        <v>32</v>
      </c>
      <c r="I59" s="77">
        <v>45963</v>
      </c>
      <c r="J59" s="74">
        <v>84.349199999999996</v>
      </c>
      <c r="K59" s="111">
        <f>I59*J59</f>
        <v>3876942.2796</v>
      </c>
    </row>
    <row r="60" spans="1:11" x14ac:dyDescent="0.25">
      <c r="A60" s="110">
        <v>2</v>
      </c>
      <c r="B60" s="74">
        <v>814019</v>
      </c>
      <c r="C60" s="75">
        <v>45549</v>
      </c>
      <c r="D60" s="80" t="s">
        <v>48</v>
      </c>
      <c r="E60" s="74" t="s">
        <v>49</v>
      </c>
      <c r="F60" s="74" t="s">
        <v>30</v>
      </c>
      <c r="G60" s="74" t="s">
        <v>98</v>
      </c>
      <c r="H60" s="74" t="s">
        <v>32</v>
      </c>
      <c r="I60" s="131">
        <v>46001</v>
      </c>
      <c r="J60">
        <v>84.349199999999996</v>
      </c>
      <c r="K60" s="111">
        <f>I60*J60</f>
        <v>3880147.5491999998</v>
      </c>
    </row>
    <row r="61" spans="1:11" x14ac:dyDescent="0.25">
      <c r="A61" s="110">
        <v>3</v>
      </c>
      <c r="B61" s="74">
        <v>820817</v>
      </c>
      <c r="C61" s="75">
        <v>45570</v>
      </c>
      <c r="D61" s="80" t="s">
        <v>48</v>
      </c>
      <c r="E61" s="74" t="s">
        <v>49</v>
      </c>
      <c r="F61" s="74" t="s">
        <v>30</v>
      </c>
      <c r="G61" s="74" t="s">
        <v>98</v>
      </c>
      <c r="H61" s="74" t="s">
        <v>32</v>
      </c>
      <c r="I61" s="77">
        <v>46065</v>
      </c>
      <c r="J61">
        <v>84.349199999999996</v>
      </c>
      <c r="K61" s="111">
        <f>I61*J61</f>
        <v>3885545.898</v>
      </c>
    </row>
    <row r="62" spans="1:11" x14ac:dyDescent="0.25">
      <c r="A62" s="110">
        <v>4</v>
      </c>
      <c r="B62" s="83">
        <v>836718</v>
      </c>
      <c r="C62" s="80">
        <v>45610</v>
      </c>
      <c r="D62" s="80" t="s">
        <v>92</v>
      </c>
      <c r="E62" s="74" t="s">
        <v>93</v>
      </c>
      <c r="F62" s="74" t="s">
        <v>30</v>
      </c>
      <c r="G62" s="74" t="s">
        <v>98</v>
      </c>
      <c r="H62" s="74" t="s">
        <v>32</v>
      </c>
      <c r="I62" s="77">
        <v>46272</v>
      </c>
      <c r="J62" s="74">
        <v>90.929199999999994</v>
      </c>
      <c r="K62" s="111">
        <f t="shared" ref="K62:K84" si="0">I62*J62</f>
        <v>4207475.9424000001</v>
      </c>
    </row>
    <row r="63" spans="1:11" x14ac:dyDescent="0.25">
      <c r="A63" s="110">
        <v>5</v>
      </c>
      <c r="B63" s="83">
        <v>842513</v>
      </c>
      <c r="C63" s="80">
        <v>45626</v>
      </c>
      <c r="D63" s="80" t="s">
        <v>92</v>
      </c>
      <c r="E63" s="74" t="s">
        <v>93</v>
      </c>
      <c r="F63" s="74" t="s">
        <v>30</v>
      </c>
      <c r="G63" s="74" t="s">
        <v>98</v>
      </c>
      <c r="H63" s="74" t="s">
        <v>32</v>
      </c>
      <c r="I63" s="77">
        <v>46251</v>
      </c>
      <c r="J63" s="74">
        <v>90.929199999999994</v>
      </c>
      <c r="K63" s="111">
        <f t="shared" si="0"/>
        <v>4205566.4292000001</v>
      </c>
    </row>
    <row r="64" spans="1:11" x14ac:dyDescent="0.25">
      <c r="A64" s="110">
        <v>6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>
        <f t="shared" si="0"/>
        <v>0</v>
      </c>
    </row>
    <row r="65" spans="1:11" x14ac:dyDescent="0.25">
      <c r="A65" s="167">
        <v>7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>
        <f t="shared" si="0"/>
        <v>0</v>
      </c>
    </row>
    <row r="66" spans="1:11" x14ac:dyDescent="0.25">
      <c r="A66" s="167">
        <v>8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>
        <f t="shared" si="0"/>
        <v>0</v>
      </c>
    </row>
    <row r="67" spans="1:11" x14ac:dyDescent="0.25">
      <c r="A67" s="167">
        <v>9</v>
      </c>
      <c r="B67" s="85"/>
      <c r="C67" s="86"/>
      <c r="D67" s="80"/>
      <c r="E67" s="74"/>
      <c r="F67" s="74" t="s">
        <v>30</v>
      </c>
      <c r="G67" s="74"/>
      <c r="H67" s="74"/>
      <c r="I67" s="87"/>
      <c r="J67" s="85"/>
      <c r="K67" s="111">
        <f t="shared" si="0"/>
        <v>0</v>
      </c>
    </row>
    <row r="68" spans="1:11" x14ac:dyDescent="0.25">
      <c r="A68" s="167">
        <v>10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>
        <f t="shared" si="0"/>
        <v>0</v>
      </c>
    </row>
    <row r="69" spans="1:11" x14ac:dyDescent="0.25">
      <c r="A69" s="167">
        <v>11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167">
        <v>12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167">
        <v>13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167">
        <v>14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167">
        <v>15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167">
        <v>16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167">
        <v>17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167">
        <v>18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167">
        <v>19</v>
      </c>
      <c r="B77" s="74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167">
        <v>20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>
        <f t="shared" si="0"/>
        <v>0</v>
      </c>
    </row>
    <row r="79" spans="1:11" x14ac:dyDescent="0.25">
      <c r="A79" s="167">
        <v>21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167">
        <v>22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0"/>
        <v>0</v>
      </c>
    </row>
    <row r="81" spans="1:11" x14ac:dyDescent="0.25">
      <c r="A81" s="167">
        <v>23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0"/>
        <v>0</v>
      </c>
    </row>
    <row r="82" spans="1:11" x14ac:dyDescent="0.25">
      <c r="A82" s="167">
        <v>24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0"/>
        <v>0</v>
      </c>
    </row>
    <row r="83" spans="1:11" x14ac:dyDescent="0.25">
      <c r="A83" s="167">
        <v>25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>
        <f t="shared" si="0"/>
        <v>0</v>
      </c>
    </row>
    <row r="84" spans="1:11" x14ac:dyDescent="0.25">
      <c r="A84" s="167">
        <v>26</v>
      </c>
      <c r="B84" s="112"/>
      <c r="C84" s="113"/>
      <c r="D84" s="112"/>
      <c r="E84" s="112"/>
      <c r="F84" s="74" t="s">
        <v>30</v>
      </c>
      <c r="G84" s="135"/>
      <c r="H84" s="85"/>
      <c r="I84" s="136"/>
      <c r="J84" s="85"/>
      <c r="K84" s="111">
        <f t="shared" si="0"/>
        <v>0</v>
      </c>
    </row>
    <row r="85" spans="1:11" x14ac:dyDescent="0.25">
      <c r="A85" s="243" t="s">
        <v>37</v>
      </c>
      <c r="B85" s="244"/>
      <c r="C85" s="244"/>
      <c r="D85" s="244"/>
      <c r="E85" s="245"/>
      <c r="F85" s="117"/>
      <c r="G85" s="117"/>
      <c r="H85" s="117"/>
      <c r="I85" s="118"/>
      <c r="J85" s="119"/>
      <c r="K85" s="120">
        <f>SUM(K59:K84)</f>
        <v>20055678.0984</v>
      </c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5.75" thickBo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38</v>
      </c>
      <c r="F91" s="121"/>
      <c r="G91" s="121"/>
      <c r="H91" s="122"/>
      <c r="I91" s="122"/>
      <c r="J91" s="122"/>
      <c r="K91" s="123">
        <f>K85</f>
        <v>20055678.0984</v>
      </c>
    </row>
    <row r="92" spans="1:11" ht="16.5" thickTop="1" thickBot="1" x14ac:dyDescent="0.3">
      <c r="A92" s="72"/>
      <c r="B92" s="72"/>
      <c r="C92" s="72"/>
      <c r="D92" s="72"/>
      <c r="E92" s="33"/>
      <c r="F92" s="33"/>
      <c r="G92" s="33"/>
      <c r="H92" s="72"/>
      <c r="I92" s="72"/>
      <c r="J92" s="72"/>
      <c r="K92" s="72"/>
    </row>
    <row r="93" spans="1:11" ht="16.5" thickTop="1" thickBot="1" x14ac:dyDescent="0.3">
      <c r="A93" s="72"/>
      <c r="B93" s="72"/>
      <c r="C93" s="72"/>
      <c r="D93" s="72"/>
      <c r="E93" s="121" t="s">
        <v>40</v>
      </c>
      <c r="F93" s="121"/>
      <c r="G93" s="121"/>
      <c r="H93" s="122"/>
      <c r="I93" s="122"/>
      <c r="J93" s="122"/>
      <c r="K93" s="124">
        <f>K50-K91</f>
        <v>5244321.9015999995</v>
      </c>
    </row>
    <row r="94" spans="1:11" ht="15.75" thickTop="1" x14ac:dyDescent="0.25"/>
  </sheetData>
  <mergeCells count="12">
    <mergeCell ref="A85:E85"/>
    <mergeCell ref="E4:J4"/>
    <mergeCell ref="E7:J7"/>
    <mergeCell ref="E9:J9"/>
    <mergeCell ref="E46:J46"/>
    <mergeCell ref="E50:J50"/>
    <mergeCell ref="I57:I58"/>
    <mergeCell ref="J57:J58"/>
    <mergeCell ref="E8:J8"/>
    <mergeCell ref="E10:J10"/>
    <mergeCell ref="E5:J5"/>
    <mergeCell ref="E11:J1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Q95"/>
  <sheetViews>
    <sheetView topLeftCell="A71" workbookViewId="0">
      <selection activeCell="N72" sqref="N72"/>
    </sheetView>
  </sheetViews>
  <sheetFormatPr defaultRowHeight="15" x14ac:dyDescent="0.25"/>
  <cols>
    <col min="1" max="1" width="2.7109375" customWidth="1"/>
    <col min="2" max="2" width="8.5703125" customWidth="1"/>
    <col min="3" max="3" width="8.85546875" customWidth="1"/>
    <col min="4" max="4" width="14.7109375" customWidth="1"/>
    <col min="5" max="5" width="13" customWidth="1"/>
    <col min="8" max="8" width="6" customWidth="1"/>
    <col min="9" max="9" width="11.42578125" customWidth="1"/>
    <col min="10" max="10" width="7.42578125" customWidth="1"/>
    <col min="11" max="11" width="9.140625" hidden="1" customWidth="1"/>
    <col min="12" max="12" width="14.28515625" customWidth="1"/>
    <col min="14" max="14" width="14.140625" customWidth="1"/>
    <col min="15" max="15" width="16.5703125" customWidth="1"/>
    <col min="17" max="17" width="15.5703125" customWidth="1"/>
  </cols>
  <sheetData>
    <row r="2" spans="1:16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6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6" ht="27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4"/>
      <c r="K4" s="225"/>
      <c r="L4" s="73" t="s">
        <v>5</v>
      </c>
      <c r="N4" s="165">
        <v>110588.71</v>
      </c>
      <c r="O4" t="s">
        <v>66</v>
      </c>
    </row>
    <row r="5" spans="1:16" x14ac:dyDescent="0.25">
      <c r="A5" s="125">
        <v>1</v>
      </c>
      <c r="B5" s="80">
        <v>45556</v>
      </c>
      <c r="C5" s="78" t="s">
        <v>25</v>
      </c>
      <c r="D5" s="76" t="s">
        <v>200</v>
      </c>
      <c r="E5" s="232" t="s">
        <v>78</v>
      </c>
      <c r="F5" s="232"/>
      <c r="G5" s="232"/>
      <c r="H5" s="232"/>
      <c r="I5" s="232"/>
      <c r="J5" s="232"/>
      <c r="K5" s="232"/>
      <c r="L5" s="77">
        <v>4200000</v>
      </c>
    </row>
    <row r="6" spans="1:16" x14ac:dyDescent="0.25">
      <c r="A6" s="72">
        <v>2</v>
      </c>
      <c r="B6" s="86">
        <v>45579</v>
      </c>
      <c r="C6" s="78" t="s">
        <v>25</v>
      </c>
      <c r="D6" s="76" t="s">
        <v>231</v>
      </c>
      <c r="E6" s="232" t="s">
        <v>78</v>
      </c>
      <c r="F6" s="232"/>
      <c r="G6" s="232"/>
      <c r="H6" s="232"/>
      <c r="I6" s="232"/>
      <c r="J6" s="232"/>
      <c r="K6" s="232"/>
      <c r="L6" s="87">
        <v>467930</v>
      </c>
    </row>
    <row r="7" spans="1:16" x14ac:dyDescent="0.25">
      <c r="A7" s="153">
        <v>2</v>
      </c>
      <c r="B7" s="80">
        <v>45596</v>
      </c>
      <c r="C7" s="78" t="s">
        <v>25</v>
      </c>
      <c r="D7" s="76" t="s">
        <v>243</v>
      </c>
      <c r="E7" s="232" t="s">
        <v>78</v>
      </c>
      <c r="F7" s="232"/>
      <c r="G7" s="232"/>
      <c r="H7" s="232"/>
      <c r="I7" s="232"/>
      <c r="J7" s="232"/>
      <c r="K7" s="232"/>
      <c r="L7" s="77">
        <v>4200000</v>
      </c>
    </row>
    <row r="8" spans="1:16" x14ac:dyDescent="0.25">
      <c r="A8" s="154">
        <v>3</v>
      </c>
      <c r="B8" s="80">
        <v>45607</v>
      </c>
      <c r="C8" s="78" t="s">
        <v>25</v>
      </c>
      <c r="D8" s="76" t="s">
        <v>331</v>
      </c>
      <c r="E8" s="232" t="s">
        <v>78</v>
      </c>
      <c r="F8" s="232"/>
      <c r="G8" s="232"/>
      <c r="H8" s="232"/>
      <c r="I8" s="232"/>
      <c r="J8" s="232"/>
      <c r="K8" s="232"/>
      <c r="L8" s="77">
        <v>302410</v>
      </c>
      <c r="M8" t="s">
        <v>328</v>
      </c>
      <c r="N8" s="165">
        <v>89100</v>
      </c>
      <c r="O8" t="s">
        <v>329</v>
      </c>
      <c r="P8" t="s">
        <v>330</v>
      </c>
    </row>
    <row r="9" spans="1:16" x14ac:dyDescent="0.25">
      <c r="A9" s="154">
        <v>4</v>
      </c>
      <c r="B9" s="80">
        <v>45621</v>
      </c>
      <c r="C9" s="78" t="s">
        <v>25</v>
      </c>
      <c r="D9" s="76" t="s">
        <v>332</v>
      </c>
      <c r="E9" s="232" t="s">
        <v>78</v>
      </c>
      <c r="F9" s="232"/>
      <c r="G9" s="232"/>
      <c r="H9" s="232"/>
      <c r="I9" s="232"/>
      <c r="J9" s="232"/>
      <c r="K9" s="232"/>
      <c r="L9" s="77">
        <v>3500000</v>
      </c>
      <c r="N9" s="165">
        <v>50000</v>
      </c>
      <c r="O9" t="s">
        <v>264</v>
      </c>
      <c r="P9" t="s">
        <v>330</v>
      </c>
    </row>
    <row r="10" spans="1:16" x14ac:dyDescent="0.25">
      <c r="A10" s="153">
        <v>5</v>
      </c>
      <c r="B10" s="80">
        <v>45639</v>
      </c>
      <c r="C10" s="78" t="s">
        <v>25</v>
      </c>
      <c r="D10" s="76" t="s">
        <v>333</v>
      </c>
      <c r="E10" s="232" t="s">
        <v>78</v>
      </c>
      <c r="F10" s="232"/>
      <c r="G10" s="232"/>
      <c r="H10" s="232"/>
      <c r="I10" s="232"/>
      <c r="J10" s="232"/>
      <c r="K10" s="232"/>
      <c r="L10" s="77">
        <v>1000000</v>
      </c>
    </row>
    <row r="11" spans="1:16" x14ac:dyDescent="0.25">
      <c r="A11" s="154">
        <v>6</v>
      </c>
      <c r="B11" s="80">
        <v>45646</v>
      </c>
      <c r="C11" s="78" t="s">
        <v>25</v>
      </c>
      <c r="D11" s="76" t="s">
        <v>334</v>
      </c>
      <c r="E11" s="232" t="s">
        <v>78</v>
      </c>
      <c r="F11" s="232"/>
      <c r="G11" s="232"/>
      <c r="H11" s="232"/>
      <c r="I11" s="232"/>
      <c r="J11" s="232"/>
      <c r="K11" s="232"/>
      <c r="L11" s="77">
        <v>151392</v>
      </c>
    </row>
    <row r="12" spans="1:16" x14ac:dyDescent="0.25">
      <c r="A12" s="154">
        <v>7</v>
      </c>
      <c r="B12" s="80">
        <v>45656</v>
      </c>
      <c r="C12" s="78" t="s">
        <v>25</v>
      </c>
      <c r="D12" s="76" t="s">
        <v>331</v>
      </c>
      <c r="E12" s="232" t="s">
        <v>78</v>
      </c>
      <c r="F12" s="232"/>
      <c r="G12" s="232"/>
      <c r="H12" s="232"/>
      <c r="I12" s="232"/>
      <c r="J12" s="232"/>
      <c r="K12" s="232"/>
      <c r="L12" s="77">
        <v>4000000</v>
      </c>
      <c r="O12" s="175"/>
    </row>
    <row r="13" spans="1:16" x14ac:dyDescent="0.25">
      <c r="A13" s="153">
        <v>8</v>
      </c>
      <c r="B13" s="80"/>
      <c r="C13" s="145"/>
      <c r="D13" s="76"/>
      <c r="E13" s="126"/>
      <c r="F13" s="127"/>
      <c r="G13" s="127"/>
      <c r="H13" s="127"/>
      <c r="I13" s="127"/>
      <c r="J13" s="127"/>
      <c r="K13" s="128"/>
      <c r="L13" s="77"/>
    </row>
    <row r="14" spans="1:16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7"/>
      <c r="K14" s="128"/>
      <c r="L14" s="77"/>
    </row>
    <row r="15" spans="1:16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7"/>
      <c r="K15" s="128"/>
      <c r="L15" s="77"/>
    </row>
    <row r="16" spans="1:16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7"/>
      <c r="K16" s="128"/>
      <c r="L16" s="77"/>
    </row>
    <row r="17" spans="1:12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7"/>
      <c r="K17" s="128"/>
      <c r="L17" s="77"/>
    </row>
    <row r="18" spans="1:12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7"/>
      <c r="K18" s="128"/>
      <c r="L18" s="77"/>
    </row>
    <row r="19" spans="1:12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7"/>
      <c r="K19" s="128"/>
      <c r="L19" s="77"/>
    </row>
    <row r="20" spans="1:12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7"/>
      <c r="K20" s="128"/>
      <c r="L20" s="77"/>
    </row>
    <row r="21" spans="1:12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7"/>
      <c r="K21" s="128"/>
      <c r="L21" s="77"/>
    </row>
    <row r="22" spans="1:12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7"/>
      <c r="K22" s="128"/>
      <c r="L22" s="77"/>
    </row>
    <row r="23" spans="1:12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7"/>
      <c r="K23" s="128"/>
      <c r="L23" s="77"/>
    </row>
    <row r="24" spans="1:12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7"/>
      <c r="K24" s="128"/>
      <c r="L24" s="77"/>
    </row>
    <row r="25" spans="1:12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7"/>
      <c r="K25" s="128"/>
      <c r="L25" s="77"/>
    </row>
    <row r="26" spans="1:12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7"/>
      <c r="K26" s="128"/>
      <c r="L26" s="77"/>
    </row>
    <row r="27" spans="1:12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7"/>
      <c r="K27" s="128"/>
      <c r="L27" s="77"/>
    </row>
    <row r="28" spans="1:12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7"/>
      <c r="K28" s="128"/>
      <c r="L28" s="77"/>
    </row>
    <row r="29" spans="1:12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7"/>
      <c r="K29" s="128"/>
      <c r="L29" s="77"/>
    </row>
    <row r="30" spans="1:12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7"/>
      <c r="K30" s="128"/>
      <c r="L30" s="77"/>
    </row>
    <row r="31" spans="1:12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7"/>
      <c r="K31" s="128"/>
      <c r="L31" s="77"/>
    </row>
    <row r="32" spans="1:12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7"/>
      <c r="K32" s="128"/>
      <c r="L32" s="77"/>
    </row>
    <row r="33" spans="1:12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7"/>
      <c r="K33" s="128"/>
      <c r="L33" s="77"/>
    </row>
    <row r="34" spans="1:12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7"/>
      <c r="K34" s="128"/>
      <c r="L34" s="77"/>
    </row>
    <row r="35" spans="1:12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7"/>
      <c r="K35" s="128"/>
      <c r="L35" s="77"/>
    </row>
    <row r="36" spans="1:12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7"/>
      <c r="K36" s="128"/>
      <c r="L36" s="77"/>
    </row>
    <row r="37" spans="1:12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7"/>
      <c r="K37" s="128"/>
      <c r="L37" s="77"/>
    </row>
    <row r="38" spans="1:12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7"/>
      <c r="K38" s="128"/>
      <c r="L38" s="77"/>
    </row>
    <row r="39" spans="1:12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7"/>
      <c r="K39" s="128"/>
      <c r="L39" s="77"/>
    </row>
    <row r="40" spans="1:12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7"/>
      <c r="K40" s="128"/>
      <c r="L40" s="77"/>
    </row>
    <row r="41" spans="1:12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7"/>
      <c r="K41" s="128"/>
      <c r="L41" s="77"/>
    </row>
    <row r="42" spans="1:12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7"/>
      <c r="K42" s="128"/>
      <c r="L42" s="77"/>
    </row>
    <row r="43" spans="1:12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7"/>
      <c r="K43" s="128"/>
      <c r="L43" s="77"/>
    </row>
    <row r="44" spans="1:12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7"/>
      <c r="K44" s="128"/>
      <c r="L44" s="77"/>
    </row>
    <row r="45" spans="1:12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7"/>
      <c r="K45" s="128"/>
      <c r="L45" s="77"/>
    </row>
    <row r="46" spans="1:12" x14ac:dyDescent="0.25">
      <c r="A46" s="84">
        <v>41</v>
      </c>
      <c r="B46" s="93"/>
      <c r="C46" s="90"/>
      <c r="D46" s="76"/>
      <c r="E46" s="236"/>
      <c r="F46" s="237"/>
      <c r="G46" s="237"/>
      <c r="H46" s="237"/>
      <c r="I46" s="237"/>
      <c r="J46" s="237"/>
      <c r="K46" s="238"/>
      <c r="L46" s="77"/>
    </row>
    <row r="47" spans="1:12" ht="15.75" thickBot="1" x14ac:dyDescent="0.3">
      <c r="A47" s="84"/>
      <c r="B47" s="94"/>
      <c r="C47" s="85"/>
      <c r="D47" s="85"/>
      <c r="E47" s="246" t="s">
        <v>26</v>
      </c>
      <c r="F47" s="247"/>
      <c r="G47" s="247"/>
      <c r="H47" s="247"/>
      <c r="I47" s="247"/>
      <c r="J47" s="247"/>
      <c r="K47" s="248"/>
      <c r="L47" s="130">
        <f>SUM(L5:L46)</f>
        <v>17821732</v>
      </c>
    </row>
    <row r="48" spans="1:12" ht="15.75" thickTop="1" x14ac:dyDescent="0.25">
      <c r="A48" s="84"/>
      <c r="B48" s="96"/>
      <c r="C48" s="97"/>
      <c r="D48" s="98"/>
      <c r="E48" s="98"/>
      <c r="F48" s="98"/>
      <c r="G48" s="98"/>
      <c r="H48" s="98"/>
      <c r="I48" s="98"/>
      <c r="J48" s="98"/>
      <c r="K48" s="98"/>
      <c r="L48" s="99"/>
    </row>
    <row r="49" spans="1:17" x14ac:dyDescent="0.25">
      <c r="A49" s="84"/>
      <c r="B49" s="96"/>
      <c r="C49" s="97"/>
      <c r="D49" s="98"/>
      <c r="E49" s="98"/>
      <c r="F49" s="98"/>
      <c r="G49" s="98"/>
      <c r="H49" s="98"/>
      <c r="I49" s="98"/>
      <c r="J49" s="98"/>
      <c r="K49" s="98"/>
      <c r="L49" s="99"/>
    </row>
    <row r="50" spans="1:17" x14ac:dyDescent="0.25">
      <c r="A50" s="95"/>
      <c r="B50" s="96"/>
      <c r="C50" s="97"/>
      <c r="D50" s="98"/>
      <c r="E50" s="98"/>
      <c r="F50" s="98"/>
      <c r="G50" s="98"/>
      <c r="H50" s="98"/>
      <c r="I50" s="98"/>
      <c r="J50" s="98"/>
      <c r="K50" s="98"/>
      <c r="L50" s="99"/>
    </row>
    <row r="51" spans="1:17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8"/>
      <c r="L51" s="99"/>
    </row>
    <row r="52" spans="1:17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8"/>
      <c r="L52" s="99"/>
    </row>
    <row r="53" spans="1:17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8"/>
      <c r="L53" s="99"/>
    </row>
    <row r="54" spans="1:17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101"/>
      <c r="J54" s="98"/>
      <c r="K54" s="98"/>
      <c r="L54" s="99"/>
    </row>
    <row r="55" spans="1:17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8"/>
      <c r="L55" s="99"/>
    </row>
    <row r="56" spans="1:17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8"/>
      <c r="L56" s="99"/>
    </row>
    <row r="57" spans="1:17" ht="51" x14ac:dyDescent="0.25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229" t="s">
        <v>29</v>
      </c>
      <c r="L57" s="41" t="s">
        <v>18</v>
      </c>
    </row>
    <row r="58" spans="1:17" ht="15.75" thickBot="1" x14ac:dyDescent="0.3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50"/>
      <c r="K58" s="230"/>
      <c r="L58" s="109"/>
    </row>
    <row r="59" spans="1:17" ht="16.5" thickTop="1" thickBot="1" x14ac:dyDescent="0.3">
      <c r="A59" s="74"/>
      <c r="B59" s="74"/>
      <c r="C59" s="74"/>
      <c r="D59" s="74"/>
      <c r="E59" s="74"/>
      <c r="F59" s="74" t="s">
        <v>202</v>
      </c>
      <c r="G59" s="74" t="s">
        <v>201</v>
      </c>
      <c r="H59" s="74"/>
      <c r="I59" s="74"/>
      <c r="J59" s="74"/>
      <c r="K59" s="74"/>
      <c r="L59" s="184">
        <v>110588.71</v>
      </c>
      <c r="N59" s="124">
        <v>110588.71</v>
      </c>
      <c r="O59" t="s">
        <v>262</v>
      </c>
      <c r="P59" t="s">
        <v>201</v>
      </c>
    </row>
    <row r="60" spans="1:17" ht="15.75" thickTop="1" x14ac:dyDescent="0.25">
      <c r="A60" s="110">
        <v>1</v>
      </c>
      <c r="B60" s="83">
        <v>820815</v>
      </c>
      <c r="C60" s="80">
        <v>45570</v>
      </c>
      <c r="D60" s="80" t="s">
        <v>35</v>
      </c>
      <c r="E60" s="74" t="s">
        <v>36</v>
      </c>
      <c r="F60" s="74" t="s">
        <v>30</v>
      </c>
      <c r="G60" s="74" t="s">
        <v>221</v>
      </c>
      <c r="H60" s="74" t="s">
        <v>32</v>
      </c>
      <c r="I60" s="77">
        <v>48110</v>
      </c>
      <c r="J60" s="210">
        <v>84.059200000000004</v>
      </c>
      <c r="K60" s="74"/>
      <c r="L60" s="111">
        <f>I60*J60</f>
        <v>4044088.1120000002</v>
      </c>
      <c r="N60" s="165">
        <v>131810</v>
      </c>
      <c r="O60" s="165" t="s">
        <v>263</v>
      </c>
      <c r="P60" t="s">
        <v>264</v>
      </c>
      <c r="Q60" s="165" t="s">
        <v>266</v>
      </c>
    </row>
    <row r="61" spans="1:17" x14ac:dyDescent="0.25">
      <c r="A61" s="110">
        <v>2</v>
      </c>
      <c r="B61" s="74">
        <v>832406</v>
      </c>
      <c r="C61" s="80">
        <v>45600</v>
      </c>
      <c r="D61" s="80" t="s">
        <v>244</v>
      </c>
      <c r="E61" t="s">
        <v>187</v>
      </c>
      <c r="F61" s="74" t="s">
        <v>30</v>
      </c>
      <c r="G61" s="74" t="s">
        <v>221</v>
      </c>
      <c r="H61" s="74" t="s">
        <v>32</v>
      </c>
      <c r="I61" s="189">
        <v>48210</v>
      </c>
      <c r="J61" s="77">
        <v>90.629199999999997</v>
      </c>
      <c r="L61" s="111">
        <f>I61*J61</f>
        <v>4369233.7319999998</v>
      </c>
      <c r="N61" s="165">
        <v>302410</v>
      </c>
      <c r="O61" t="s">
        <v>265</v>
      </c>
    </row>
    <row r="62" spans="1:17" x14ac:dyDescent="0.25">
      <c r="A62" s="110">
        <v>3</v>
      </c>
      <c r="B62">
        <v>846854</v>
      </c>
      <c r="C62" s="80">
        <v>45639</v>
      </c>
      <c r="D62" s="80" t="s">
        <v>35</v>
      </c>
      <c r="E62" s="74" t="s">
        <v>36</v>
      </c>
      <c r="F62" s="74" t="s">
        <v>30</v>
      </c>
      <c r="G62" s="74" t="s">
        <v>221</v>
      </c>
      <c r="H62" s="74" t="s">
        <v>32</v>
      </c>
      <c r="I62" s="140">
        <v>48452</v>
      </c>
      <c r="J62" s="77">
        <v>90.629199999999997</v>
      </c>
      <c r="K62" s="74"/>
      <c r="L62" s="111">
        <f>I62*J62</f>
        <v>4391165.9983999999</v>
      </c>
      <c r="N62" s="165">
        <v>139100</v>
      </c>
      <c r="O62" t="s">
        <v>263</v>
      </c>
    </row>
    <row r="63" spans="1:17" x14ac:dyDescent="0.25">
      <c r="A63" s="110">
        <v>4</v>
      </c>
      <c r="B63" s="83">
        <v>854861</v>
      </c>
      <c r="C63" s="80">
        <v>45659</v>
      </c>
      <c r="D63" s="80" t="s">
        <v>244</v>
      </c>
      <c r="E63" t="s">
        <v>187</v>
      </c>
      <c r="F63" s="74" t="s">
        <v>30</v>
      </c>
      <c r="G63" s="74" t="s">
        <v>221</v>
      </c>
      <c r="H63" s="74" t="s">
        <v>32</v>
      </c>
      <c r="I63" s="140">
        <v>48324</v>
      </c>
      <c r="J63" s="77">
        <v>90.629199999999997</v>
      </c>
      <c r="K63" s="74"/>
      <c r="L63" s="111">
        <f t="shared" ref="L63:L75" si="0">I63*J63</f>
        <v>4379565.4607999995</v>
      </c>
    </row>
    <row r="64" spans="1:17" x14ac:dyDescent="0.25">
      <c r="A64" s="110">
        <v>5</v>
      </c>
      <c r="B64" s="83"/>
      <c r="C64" s="80"/>
      <c r="D64" s="80"/>
      <c r="E64" s="74"/>
      <c r="F64" s="74" t="s">
        <v>30</v>
      </c>
      <c r="G64" s="74"/>
      <c r="H64" s="74"/>
      <c r="I64" s="140"/>
      <c r="J64" s="77"/>
      <c r="K64" s="74"/>
      <c r="L64" s="111">
        <f t="shared" si="0"/>
        <v>0</v>
      </c>
    </row>
    <row r="65" spans="1:12" x14ac:dyDescent="0.25">
      <c r="A65" s="110">
        <v>6</v>
      </c>
      <c r="B65" s="83"/>
      <c r="C65" s="80"/>
      <c r="D65" s="80"/>
      <c r="E65" s="74"/>
      <c r="F65" s="74" t="s">
        <v>30</v>
      </c>
      <c r="G65" s="74"/>
      <c r="H65" s="74"/>
      <c r="I65" s="140"/>
      <c r="J65" s="77"/>
      <c r="K65" s="74"/>
      <c r="L65" s="111">
        <f t="shared" si="0"/>
        <v>0</v>
      </c>
    </row>
    <row r="66" spans="1:12" x14ac:dyDescent="0.25">
      <c r="A66" s="167">
        <v>7</v>
      </c>
      <c r="B66" s="83"/>
      <c r="C66" s="80"/>
      <c r="D66" s="80"/>
      <c r="E66" s="74"/>
      <c r="F66" s="74" t="s">
        <v>30</v>
      </c>
      <c r="G66" s="74"/>
      <c r="H66" s="74"/>
      <c r="I66" s="140"/>
      <c r="J66" s="77"/>
      <c r="K66" s="74"/>
      <c r="L66" s="111">
        <f t="shared" si="0"/>
        <v>0</v>
      </c>
    </row>
    <row r="67" spans="1:12" x14ac:dyDescent="0.25">
      <c r="A67" s="167">
        <v>8</v>
      </c>
      <c r="B67" s="83"/>
      <c r="C67" s="80"/>
      <c r="D67" s="80"/>
      <c r="E67" s="74"/>
      <c r="F67" s="74" t="s">
        <v>30</v>
      </c>
      <c r="G67" s="74"/>
      <c r="H67" s="74"/>
      <c r="I67" s="140"/>
      <c r="J67" s="77"/>
      <c r="K67" s="74"/>
      <c r="L67" s="111">
        <f t="shared" si="0"/>
        <v>0</v>
      </c>
    </row>
    <row r="68" spans="1:12" x14ac:dyDescent="0.25">
      <c r="A68" s="167">
        <v>9</v>
      </c>
      <c r="B68" s="85"/>
      <c r="C68" s="86"/>
      <c r="D68" s="80"/>
      <c r="E68" s="74"/>
      <c r="F68" s="74" t="s">
        <v>30</v>
      </c>
      <c r="G68" s="74"/>
      <c r="H68" s="74"/>
      <c r="I68" s="140"/>
      <c r="J68" s="87"/>
      <c r="K68" s="85"/>
      <c r="L68" s="111">
        <f t="shared" si="0"/>
        <v>0</v>
      </c>
    </row>
    <row r="69" spans="1:12" x14ac:dyDescent="0.25">
      <c r="A69" s="167">
        <v>10</v>
      </c>
      <c r="B69" s="74"/>
      <c r="C69" s="80"/>
      <c r="D69" s="80"/>
      <c r="E69" s="74"/>
      <c r="F69" s="74" t="s">
        <v>30</v>
      </c>
      <c r="G69" s="74"/>
      <c r="H69" s="74"/>
      <c r="I69" s="140"/>
      <c r="J69" s="77"/>
      <c r="K69" s="74"/>
      <c r="L69" s="111">
        <f t="shared" si="0"/>
        <v>0</v>
      </c>
    </row>
    <row r="70" spans="1:12" x14ac:dyDescent="0.25">
      <c r="A70" s="167">
        <v>11</v>
      </c>
      <c r="B70" s="74"/>
      <c r="C70" s="80"/>
      <c r="D70" s="80"/>
      <c r="E70" s="74"/>
      <c r="F70" s="74" t="s">
        <v>30</v>
      </c>
      <c r="G70" s="74"/>
      <c r="H70" s="74"/>
      <c r="I70" s="140"/>
      <c r="J70" s="77"/>
      <c r="K70" s="74"/>
      <c r="L70" s="111">
        <f t="shared" si="0"/>
        <v>0</v>
      </c>
    </row>
    <row r="71" spans="1:12" x14ac:dyDescent="0.25">
      <c r="A71" s="167">
        <v>12</v>
      </c>
      <c r="B71" s="74"/>
      <c r="C71" s="80"/>
      <c r="D71" s="80"/>
      <c r="F71" s="74" t="s">
        <v>30</v>
      </c>
      <c r="G71" s="74"/>
      <c r="H71" s="74"/>
      <c r="I71" s="140"/>
      <c r="J71" s="77"/>
      <c r="K71" s="74"/>
      <c r="L71" s="111">
        <f t="shared" si="0"/>
        <v>0</v>
      </c>
    </row>
    <row r="72" spans="1:12" x14ac:dyDescent="0.25">
      <c r="A72" s="167">
        <v>13</v>
      </c>
      <c r="B72" s="74"/>
      <c r="C72" s="80"/>
      <c r="D72" s="80"/>
      <c r="E72" s="74"/>
      <c r="F72" s="74" t="s">
        <v>30</v>
      </c>
      <c r="G72" s="74"/>
      <c r="H72" s="74"/>
      <c r="I72" s="140"/>
      <c r="J72" s="77"/>
      <c r="K72" s="74"/>
      <c r="L72" s="111">
        <f t="shared" si="0"/>
        <v>0</v>
      </c>
    </row>
    <row r="73" spans="1:12" x14ac:dyDescent="0.25">
      <c r="A73" s="167">
        <v>14</v>
      </c>
      <c r="B73" s="74"/>
      <c r="C73" s="80"/>
      <c r="D73" s="80"/>
      <c r="E73" s="74"/>
      <c r="F73" s="74" t="s">
        <v>30</v>
      </c>
      <c r="G73" s="74"/>
      <c r="H73" s="74"/>
      <c r="I73" s="140"/>
      <c r="J73" s="77"/>
      <c r="K73" s="74"/>
      <c r="L73" s="111">
        <f t="shared" si="0"/>
        <v>0</v>
      </c>
    </row>
    <row r="74" spans="1:12" x14ac:dyDescent="0.25">
      <c r="A74" s="167">
        <v>15</v>
      </c>
      <c r="B74" s="74"/>
      <c r="C74" s="80"/>
      <c r="D74" s="80"/>
      <c r="E74" s="74"/>
      <c r="F74" s="74" t="s">
        <v>30</v>
      </c>
      <c r="G74" s="74"/>
      <c r="H74" s="74"/>
      <c r="I74" s="140"/>
      <c r="J74" s="77"/>
      <c r="K74" s="74"/>
      <c r="L74" s="111">
        <f t="shared" si="0"/>
        <v>0</v>
      </c>
    </row>
    <row r="75" spans="1:12" x14ac:dyDescent="0.25">
      <c r="A75" s="167">
        <v>16</v>
      </c>
      <c r="B75" s="74"/>
      <c r="C75" s="80"/>
      <c r="D75" s="80"/>
      <c r="E75" s="74"/>
      <c r="F75" s="74" t="s">
        <v>30</v>
      </c>
      <c r="G75" s="74"/>
      <c r="H75" s="74"/>
      <c r="I75" s="140"/>
      <c r="J75" s="77"/>
      <c r="K75" s="74"/>
      <c r="L75" s="111">
        <f t="shared" si="0"/>
        <v>0</v>
      </c>
    </row>
    <row r="76" spans="1:12" x14ac:dyDescent="0.25">
      <c r="A76" s="167">
        <v>17</v>
      </c>
      <c r="B76" s="74"/>
      <c r="C76" s="80"/>
      <c r="D76" s="80"/>
      <c r="E76" s="74"/>
      <c r="F76" s="74" t="s">
        <v>30</v>
      </c>
      <c r="G76" s="74"/>
      <c r="H76" s="74"/>
      <c r="I76" s="140"/>
      <c r="J76" s="77"/>
      <c r="K76" s="74"/>
      <c r="L76" s="111"/>
    </row>
    <row r="77" spans="1:12" x14ac:dyDescent="0.25">
      <c r="A77" s="167">
        <v>18</v>
      </c>
      <c r="B77" s="133"/>
      <c r="C77" s="80"/>
      <c r="D77" s="80"/>
      <c r="E77" s="74"/>
      <c r="F77" s="74" t="s">
        <v>30</v>
      </c>
      <c r="G77" s="74"/>
      <c r="H77" s="74"/>
      <c r="I77" s="140"/>
      <c r="J77" s="77"/>
      <c r="K77" s="74"/>
      <c r="L77" s="111"/>
    </row>
    <row r="78" spans="1:12" x14ac:dyDescent="0.25">
      <c r="A78" s="167">
        <v>19</v>
      </c>
      <c r="B78" s="74"/>
      <c r="C78" s="80"/>
      <c r="D78" s="80"/>
      <c r="E78" s="74"/>
      <c r="F78" s="74" t="s">
        <v>30</v>
      </c>
      <c r="G78" s="74"/>
      <c r="H78" s="74"/>
      <c r="I78" s="140"/>
      <c r="J78" s="77"/>
      <c r="K78" s="74"/>
      <c r="L78" s="111"/>
    </row>
    <row r="79" spans="1:12" x14ac:dyDescent="0.25">
      <c r="A79" s="167">
        <v>20</v>
      </c>
      <c r="B79" s="74"/>
      <c r="C79" s="80"/>
      <c r="D79" s="80"/>
      <c r="E79" s="74"/>
      <c r="F79" s="74" t="s">
        <v>30</v>
      </c>
      <c r="G79" s="74"/>
      <c r="H79" s="74"/>
      <c r="I79" s="140"/>
      <c r="J79" s="134"/>
      <c r="K79" s="74"/>
      <c r="L79" s="111"/>
    </row>
    <row r="80" spans="1:12" x14ac:dyDescent="0.25">
      <c r="A80" s="167">
        <v>21</v>
      </c>
      <c r="B80" s="74"/>
      <c r="C80" s="80"/>
      <c r="D80" s="80"/>
      <c r="E80" s="74"/>
      <c r="F80" s="74" t="s">
        <v>30</v>
      </c>
      <c r="G80" s="74"/>
      <c r="H80" s="74"/>
      <c r="I80" s="74"/>
      <c r="J80" s="134"/>
      <c r="K80" s="74"/>
      <c r="L80" s="111"/>
    </row>
    <row r="81" spans="1:12" x14ac:dyDescent="0.25">
      <c r="A81" s="167">
        <v>22</v>
      </c>
      <c r="B81" s="74"/>
      <c r="C81" s="80"/>
      <c r="D81" s="80"/>
      <c r="E81" s="74"/>
      <c r="F81" s="74" t="s">
        <v>30</v>
      </c>
      <c r="G81" s="74"/>
      <c r="H81" s="74"/>
      <c r="I81" s="74"/>
      <c r="J81" s="134"/>
      <c r="K81" s="74"/>
      <c r="L81" s="111"/>
    </row>
    <row r="82" spans="1:12" x14ac:dyDescent="0.25">
      <c r="A82" s="167">
        <v>23</v>
      </c>
      <c r="B82" s="74"/>
      <c r="C82" s="80"/>
      <c r="D82" s="80"/>
      <c r="E82" s="74"/>
      <c r="F82" s="74" t="s">
        <v>30</v>
      </c>
      <c r="G82" s="74"/>
      <c r="H82" s="74"/>
      <c r="I82" s="74"/>
      <c r="J82" s="134"/>
      <c r="K82" s="74"/>
      <c r="L82" s="111"/>
    </row>
    <row r="83" spans="1:12" x14ac:dyDescent="0.25">
      <c r="A83" s="167">
        <v>24</v>
      </c>
      <c r="B83" s="74"/>
      <c r="C83" s="80"/>
      <c r="D83" s="80"/>
      <c r="E83" s="74"/>
      <c r="F83" s="74" t="s">
        <v>30</v>
      </c>
      <c r="G83" s="74"/>
      <c r="H83" s="74"/>
      <c r="I83" s="74"/>
      <c r="J83" s="134"/>
      <c r="K83" s="74"/>
      <c r="L83" s="111"/>
    </row>
    <row r="84" spans="1:12" x14ac:dyDescent="0.25">
      <c r="A84" s="167">
        <v>25</v>
      </c>
      <c r="B84" s="74"/>
      <c r="C84" s="80"/>
      <c r="D84" s="80"/>
      <c r="E84" s="74"/>
      <c r="F84" s="74" t="s">
        <v>30</v>
      </c>
      <c r="G84" s="74"/>
      <c r="H84" s="74"/>
      <c r="I84" s="74"/>
      <c r="J84" s="134"/>
      <c r="K84" s="74"/>
      <c r="L84" s="111"/>
    </row>
    <row r="85" spans="1:12" x14ac:dyDescent="0.25">
      <c r="A85" s="167">
        <v>26</v>
      </c>
      <c r="B85" s="112"/>
      <c r="C85" s="113"/>
      <c r="D85" s="112"/>
      <c r="E85" s="112"/>
      <c r="F85" s="74" t="s">
        <v>30</v>
      </c>
      <c r="G85" s="135"/>
      <c r="H85" s="85"/>
      <c r="I85" s="85"/>
      <c r="J85" s="136"/>
      <c r="K85" s="85"/>
      <c r="L85" s="114"/>
    </row>
    <row r="86" spans="1:12" x14ac:dyDescent="0.25">
      <c r="A86" s="231" t="s">
        <v>37</v>
      </c>
      <c r="B86" s="231"/>
      <c r="C86" s="231"/>
      <c r="D86" s="231"/>
      <c r="E86" s="231"/>
      <c r="F86" s="117"/>
      <c r="G86" s="117"/>
      <c r="H86" s="117"/>
      <c r="I86" s="117"/>
      <c r="J86" s="118"/>
      <c r="K86" s="119"/>
      <c r="L86" s="120">
        <f>SUM(L59:L85)</f>
        <v>17294642.0132</v>
      </c>
    </row>
    <row r="87" spans="1:12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87"/>
    </row>
    <row r="88" spans="1:12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1:12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1:12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1:12" ht="15.75" thickBo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</row>
    <row r="92" spans="1:12" ht="16.5" thickTop="1" thickBot="1" x14ac:dyDescent="0.3">
      <c r="A92" s="72"/>
      <c r="B92" s="72"/>
      <c r="C92" s="72"/>
      <c r="D92" s="72"/>
      <c r="E92" s="121" t="s">
        <v>38</v>
      </c>
      <c r="F92" s="121"/>
      <c r="G92" s="121"/>
      <c r="H92" s="122"/>
      <c r="I92" s="122"/>
      <c r="J92" s="122"/>
      <c r="K92" s="122"/>
      <c r="L92" s="123">
        <f>L86</f>
        <v>17294642.0132</v>
      </c>
    </row>
    <row r="93" spans="1:12" ht="16.5" thickTop="1" thickBot="1" x14ac:dyDescent="0.3">
      <c r="A93" s="72"/>
      <c r="B93" s="72"/>
      <c r="C93" s="72"/>
      <c r="D93" s="72"/>
      <c r="E93" s="33"/>
      <c r="F93" s="33"/>
      <c r="G93" s="33"/>
      <c r="H93" s="72"/>
      <c r="I93" s="72"/>
      <c r="J93" s="72"/>
      <c r="K93" s="72"/>
      <c r="L93" s="72"/>
    </row>
    <row r="94" spans="1:12" ht="16.5" thickTop="1" thickBot="1" x14ac:dyDescent="0.3">
      <c r="A94" s="72"/>
      <c r="B94" s="72"/>
      <c r="C94" s="72"/>
      <c r="D94" s="72"/>
      <c r="E94" s="121" t="s">
        <v>40</v>
      </c>
      <c r="F94" s="121"/>
      <c r="G94" s="121"/>
      <c r="H94" s="122"/>
      <c r="I94" s="122"/>
      <c r="J94" s="122"/>
      <c r="K94" s="122"/>
      <c r="L94" s="124">
        <f>L47-L92</f>
        <v>527089.98680000007</v>
      </c>
    </row>
    <row r="95" spans="1:12" ht="15.75" thickTop="1" x14ac:dyDescent="0.25"/>
  </sheetData>
  <mergeCells count="15">
    <mergeCell ref="A86:E86"/>
    <mergeCell ref="E4:K4"/>
    <mergeCell ref="E5:K5"/>
    <mergeCell ref="E7:K7"/>
    <mergeCell ref="E46:K46"/>
    <mergeCell ref="E47:K47"/>
    <mergeCell ref="J57:J58"/>
    <mergeCell ref="K57:K58"/>
    <mergeCell ref="I57:I58"/>
    <mergeCell ref="E6:K6"/>
    <mergeCell ref="E8:K8"/>
    <mergeCell ref="E9:K9"/>
    <mergeCell ref="E10:K10"/>
    <mergeCell ref="E12:K12"/>
    <mergeCell ref="E11:K11"/>
  </mergeCells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94"/>
  <sheetViews>
    <sheetView topLeftCell="A65" workbookViewId="0">
      <selection activeCell="T58" sqref="T58"/>
    </sheetView>
  </sheetViews>
  <sheetFormatPr defaultRowHeight="15" x14ac:dyDescent="0.25"/>
  <cols>
    <col min="1" max="1" width="3" customWidth="1"/>
    <col min="2" max="2" width="8.140625" customWidth="1"/>
    <col min="4" max="4" width="17.5703125" customWidth="1"/>
    <col min="5" max="5" width="13.28515625" customWidth="1"/>
    <col min="6" max="6" width="8.140625" customWidth="1"/>
    <col min="7" max="7" width="11.5703125" customWidth="1"/>
    <col min="8" max="8" width="5.140625" customWidth="1"/>
    <col min="9" max="9" width="10.85546875" customWidth="1"/>
    <col min="10" max="10" width="7.5703125" customWidth="1"/>
    <col min="11" max="11" width="14" customWidth="1"/>
    <col min="12" max="12" width="11.140625" customWidth="1"/>
  </cols>
  <sheetData>
    <row r="1" spans="1:11" ht="27.75" customHeight="1" x14ac:dyDescent="0.3">
      <c r="B1" s="166" t="s">
        <v>108</v>
      </c>
      <c r="C1" s="166"/>
    </row>
    <row r="2" spans="1:11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7.75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125">
        <v>1</v>
      </c>
      <c r="B5" s="80">
        <v>45496</v>
      </c>
      <c r="C5" s="78" t="s">
        <v>112</v>
      </c>
      <c r="D5" s="76" t="s">
        <v>113</v>
      </c>
      <c r="E5" s="232" t="s">
        <v>78</v>
      </c>
      <c r="F5" s="232"/>
      <c r="G5" s="232"/>
      <c r="H5" s="232"/>
      <c r="I5" s="232"/>
      <c r="J5" s="232"/>
      <c r="K5" s="77">
        <v>4281600</v>
      </c>
    </row>
    <row r="6" spans="1:11" x14ac:dyDescent="0.25">
      <c r="A6" s="72">
        <v>2</v>
      </c>
      <c r="B6" s="86"/>
      <c r="C6" s="85"/>
      <c r="D6" s="76"/>
      <c r="E6" s="72"/>
      <c r="F6" s="72"/>
      <c r="G6" s="72"/>
      <c r="H6" s="72"/>
      <c r="I6" s="72"/>
      <c r="J6" s="72"/>
      <c r="K6" s="87"/>
    </row>
    <row r="7" spans="1:11" x14ac:dyDescent="0.25">
      <c r="A7" s="153">
        <v>2</v>
      </c>
      <c r="B7" s="80"/>
      <c r="D7" s="76"/>
      <c r="E7" s="236"/>
      <c r="F7" s="237"/>
      <c r="G7" s="237"/>
      <c r="H7" s="237"/>
      <c r="I7" s="237"/>
      <c r="J7" s="238"/>
      <c r="K7" s="77"/>
    </row>
    <row r="8" spans="1:11" x14ac:dyDescent="0.25">
      <c r="A8" s="154">
        <v>3</v>
      </c>
      <c r="B8" s="80"/>
      <c r="C8" s="145"/>
      <c r="D8" s="76"/>
      <c r="E8" s="126"/>
      <c r="F8" s="127"/>
      <c r="G8" s="127"/>
      <c r="H8" s="127"/>
      <c r="I8" s="127"/>
      <c r="J8" s="128"/>
      <c r="K8" s="77"/>
    </row>
    <row r="9" spans="1:11" x14ac:dyDescent="0.25">
      <c r="A9" s="154">
        <v>4</v>
      </c>
      <c r="B9" s="80"/>
      <c r="C9" s="145"/>
      <c r="D9" s="76"/>
      <c r="E9" s="126"/>
      <c r="F9" s="127"/>
      <c r="G9" s="127"/>
      <c r="H9" s="127"/>
      <c r="I9" s="127"/>
      <c r="J9" s="128"/>
      <c r="K9" s="77"/>
    </row>
    <row r="10" spans="1:11" x14ac:dyDescent="0.25">
      <c r="A10" s="153">
        <v>5</v>
      </c>
      <c r="B10" s="80"/>
      <c r="C10" s="145"/>
      <c r="D10" s="76"/>
      <c r="E10" s="126"/>
      <c r="F10" s="127"/>
      <c r="G10" s="127"/>
      <c r="H10" s="127"/>
      <c r="I10" s="127"/>
      <c r="J10" s="128"/>
      <c r="K10" s="77"/>
    </row>
    <row r="11" spans="1:11" x14ac:dyDescent="0.25">
      <c r="A11" s="154">
        <v>6</v>
      </c>
      <c r="B11" s="80"/>
      <c r="C11" s="145"/>
      <c r="D11" s="76"/>
      <c r="E11" s="126"/>
      <c r="F11" s="127"/>
      <c r="G11" s="127"/>
      <c r="H11" s="127"/>
      <c r="I11" s="127"/>
      <c r="J11" s="128"/>
      <c r="K11" s="77"/>
    </row>
    <row r="12" spans="1:11" x14ac:dyDescent="0.25">
      <c r="A12" s="154">
        <v>7</v>
      </c>
      <c r="B12" s="80"/>
      <c r="C12" s="145"/>
      <c r="D12" s="76"/>
      <c r="E12" s="126"/>
      <c r="F12" s="127"/>
      <c r="G12" s="127"/>
      <c r="H12" s="127"/>
      <c r="I12" s="127"/>
      <c r="J12" s="128"/>
      <c r="K12" s="77"/>
    </row>
    <row r="13" spans="1:11" x14ac:dyDescent="0.25">
      <c r="A13" s="88">
        <v>8</v>
      </c>
      <c r="B13" s="75"/>
      <c r="C13" s="78"/>
      <c r="D13" s="76"/>
      <c r="E13" s="126"/>
      <c r="F13" s="127"/>
      <c r="G13" s="127"/>
      <c r="H13" s="127"/>
      <c r="I13" s="127"/>
      <c r="J13" s="128"/>
      <c r="K13" s="77"/>
    </row>
    <row r="14" spans="1:11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1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1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41</v>
      </c>
      <c r="B46" s="93"/>
      <c r="C46" s="90"/>
      <c r="D46" s="76"/>
      <c r="E46" s="236" t="s">
        <v>110</v>
      </c>
      <c r="F46" s="237"/>
      <c r="G46" s="237"/>
      <c r="H46" s="237"/>
      <c r="I46" s="237"/>
      <c r="J46" s="238"/>
      <c r="K46" s="77"/>
    </row>
    <row r="47" spans="1:11" x14ac:dyDescent="0.25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</row>
    <row r="48" spans="1:11" x14ac:dyDescent="0.25">
      <c r="A48" s="88"/>
      <c r="B48" s="93"/>
      <c r="C48" s="90"/>
      <c r="D48" s="76"/>
      <c r="E48" s="76"/>
      <c r="F48" s="76"/>
      <c r="G48" s="76"/>
      <c r="H48" s="76"/>
      <c r="I48" s="76"/>
      <c r="J48" s="76"/>
      <c r="K48" s="92"/>
    </row>
    <row r="49" spans="1:12" x14ac:dyDescent="0.25">
      <c r="A49" s="88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2" ht="15.75" thickBot="1" x14ac:dyDescent="0.3">
      <c r="A50" s="84"/>
      <c r="B50" s="94"/>
      <c r="C50" s="85"/>
      <c r="D50" s="85"/>
      <c r="E50" s="246" t="s">
        <v>26</v>
      </c>
      <c r="F50" s="247"/>
      <c r="G50" s="247"/>
      <c r="H50" s="247"/>
      <c r="I50" s="247"/>
      <c r="J50" s="248"/>
      <c r="K50" s="130">
        <f>SUM(K5:K46)</f>
        <v>4281600</v>
      </c>
    </row>
    <row r="51" spans="1:12" ht="15.75" thickTop="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2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2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2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2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2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2" ht="51.75" customHeight="1" x14ac:dyDescent="0.25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41" t="s">
        <v>18</v>
      </c>
      <c r="L57" t="s">
        <v>107</v>
      </c>
    </row>
    <row r="58" spans="1:12" ht="23.25" customHeight="1" x14ac:dyDescent="0.25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30"/>
      <c r="K58" s="109"/>
    </row>
    <row r="59" spans="1:12" x14ac:dyDescent="0.25">
      <c r="A59" s="110">
        <v>1</v>
      </c>
      <c r="B59" s="83">
        <v>797574</v>
      </c>
      <c r="C59" s="80">
        <v>45507</v>
      </c>
      <c r="D59" s="80" t="s">
        <v>35</v>
      </c>
      <c r="E59" s="74" t="s">
        <v>36</v>
      </c>
      <c r="F59" s="74" t="s">
        <v>30</v>
      </c>
      <c r="G59" s="74" t="s">
        <v>109</v>
      </c>
      <c r="H59" s="74" t="s">
        <v>57</v>
      </c>
      <c r="I59" s="77">
        <v>48094</v>
      </c>
      <c r="J59" s="74">
        <v>71.36</v>
      </c>
      <c r="K59" s="111">
        <f>I59*J59</f>
        <v>3431987.84</v>
      </c>
    </row>
    <row r="60" spans="1:12" x14ac:dyDescent="0.25">
      <c r="A60" s="110">
        <v>2</v>
      </c>
      <c r="B60" s="74"/>
      <c r="C60" s="75"/>
      <c r="D60" s="80"/>
      <c r="F60" s="74" t="s">
        <v>30</v>
      </c>
      <c r="G60" s="74"/>
      <c r="I60" s="77"/>
      <c r="K60" s="111">
        <f t="shared" ref="K60:K84" si="0">I60*J60</f>
        <v>0</v>
      </c>
      <c r="L60">
        <v>104.83</v>
      </c>
    </row>
    <row r="61" spans="1:12" x14ac:dyDescent="0.25">
      <c r="A61" s="110">
        <v>3</v>
      </c>
      <c r="C61" s="80"/>
      <c r="D61" s="80"/>
      <c r="E61" s="74"/>
      <c r="F61" s="74" t="s">
        <v>30</v>
      </c>
      <c r="G61" s="74"/>
      <c r="H61" s="74"/>
      <c r="I61" s="77"/>
      <c r="J61" s="74"/>
      <c r="K61" s="111">
        <f t="shared" si="0"/>
        <v>0</v>
      </c>
    </row>
    <row r="62" spans="1:12" x14ac:dyDescent="0.25">
      <c r="A62" s="110">
        <v>4</v>
      </c>
      <c r="B62" s="83"/>
      <c r="C62" s="80"/>
      <c r="D62" s="80"/>
      <c r="E62" s="74"/>
      <c r="F62" s="74" t="s">
        <v>30</v>
      </c>
      <c r="G62" s="74"/>
      <c r="H62" s="74"/>
      <c r="I62" s="77"/>
      <c r="J62" s="74"/>
      <c r="K62" s="111">
        <f t="shared" si="0"/>
        <v>0</v>
      </c>
    </row>
    <row r="63" spans="1:12" x14ac:dyDescent="0.25">
      <c r="A63" s="110">
        <v>5</v>
      </c>
      <c r="B63" s="83"/>
      <c r="C63" s="80"/>
      <c r="D63" s="80"/>
      <c r="E63" s="74"/>
      <c r="F63" s="74" t="s">
        <v>30</v>
      </c>
      <c r="G63" s="74"/>
      <c r="H63" s="74"/>
      <c r="I63" s="77"/>
      <c r="J63" s="74"/>
      <c r="K63" s="111">
        <f t="shared" si="0"/>
        <v>0</v>
      </c>
    </row>
    <row r="64" spans="1:12" x14ac:dyDescent="0.25">
      <c r="A64" s="110">
        <v>6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>
        <f t="shared" si="0"/>
        <v>0</v>
      </c>
    </row>
    <row r="65" spans="1:11" x14ac:dyDescent="0.25">
      <c r="A65" s="52">
        <v>7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>
        <f t="shared" si="0"/>
        <v>0</v>
      </c>
    </row>
    <row r="66" spans="1:11" x14ac:dyDescent="0.25">
      <c r="A66" s="52">
        <v>8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>
        <f t="shared" si="0"/>
        <v>0</v>
      </c>
    </row>
    <row r="67" spans="1:11" x14ac:dyDescent="0.25">
      <c r="A67" s="52">
        <v>9</v>
      </c>
      <c r="B67" s="85"/>
      <c r="C67" s="86"/>
      <c r="D67" s="80"/>
      <c r="E67" s="74"/>
      <c r="F67" s="74" t="s">
        <v>30</v>
      </c>
      <c r="G67" s="74"/>
      <c r="H67" s="74"/>
      <c r="I67" s="87"/>
      <c r="J67" s="85"/>
      <c r="K67" s="111">
        <f t="shared" si="0"/>
        <v>0</v>
      </c>
    </row>
    <row r="68" spans="1:11" x14ac:dyDescent="0.25">
      <c r="A68" s="52">
        <v>10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>
        <f t="shared" si="0"/>
        <v>0</v>
      </c>
    </row>
    <row r="69" spans="1:11" x14ac:dyDescent="0.25">
      <c r="A69" s="52">
        <v>11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52">
        <v>12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52">
        <v>13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52">
        <v>14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52">
        <v>15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52">
        <v>16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52">
        <v>17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52">
        <v>18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52">
        <v>19</v>
      </c>
      <c r="B77" s="74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52">
        <v>20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>
        <f t="shared" si="0"/>
        <v>0</v>
      </c>
    </row>
    <row r="79" spans="1:11" x14ac:dyDescent="0.25">
      <c r="A79" s="52">
        <v>21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52">
        <v>22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0"/>
        <v>0</v>
      </c>
    </row>
    <row r="81" spans="1:11" x14ac:dyDescent="0.25">
      <c r="A81" s="52">
        <v>23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0"/>
        <v>0</v>
      </c>
    </row>
    <row r="82" spans="1:11" x14ac:dyDescent="0.25">
      <c r="A82" s="52">
        <v>24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0"/>
        <v>0</v>
      </c>
    </row>
    <row r="83" spans="1:11" x14ac:dyDescent="0.25">
      <c r="A83" s="52">
        <v>25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>
        <f t="shared" si="0"/>
        <v>0</v>
      </c>
    </row>
    <row r="84" spans="1:11" x14ac:dyDescent="0.25">
      <c r="A84" s="52">
        <v>26</v>
      </c>
      <c r="B84" s="112"/>
      <c r="C84" s="113"/>
      <c r="D84" s="112"/>
      <c r="E84" s="112"/>
      <c r="F84" s="74" t="s">
        <v>30</v>
      </c>
      <c r="G84" s="135"/>
      <c r="H84" s="85"/>
      <c r="I84" s="136"/>
      <c r="J84" s="85"/>
      <c r="K84" s="111">
        <f t="shared" si="0"/>
        <v>0</v>
      </c>
    </row>
    <row r="85" spans="1:11" x14ac:dyDescent="0.25">
      <c r="A85" s="231" t="s">
        <v>37</v>
      </c>
      <c r="B85" s="231"/>
      <c r="C85" s="231"/>
      <c r="D85" s="231"/>
      <c r="E85" s="231"/>
      <c r="F85" s="117"/>
      <c r="G85" s="117"/>
      <c r="H85" s="117"/>
      <c r="I85" s="118"/>
      <c r="J85" s="119"/>
      <c r="K85" s="120">
        <f>SUM(K59:K84)</f>
        <v>3431987.84</v>
      </c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5.75" thickBo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38</v>
      </c>
      <c r="F91" s="121"/>
      <c r="G91" s="121"/>
      <c r="H91" s="122"/>
      <c r="I91" s="122"/>
      <c r="J91" s="122"/>
      <c r="K91" s="123">
        <f>K85</f>
        <v>3431987.84</v>
      </c>
    </row>
    <row r="92" spans="1:11" ht="16.5" thickTop="1" thickBot="1" x14ac:dyDescent="0.3">
      <c r="A92" s="72"/>
      <c r="B92" s="72"/>
      <c r="C92" s="72"/>
      <c r="D92" s="72"/>
      <c r="E92" s="33"/>
      <c r="F92" s="33"/>
      <c r="G92" s="33"/>
      <c r="H92" s="72"/>
      <c r="I92" s="72"/>
      <c r="J92" s="72"/>
      <c r="K92" s="72"/>
    </row>
    <row r="93" spans="1:11" ht="16.5" thickTop="1" thickBot="1" x14ac:dyDescent="0.3">
      <c r="A93" s="72"/>
      <c r="B93" s="72"/>
      <c r="C93" s="72"/>
      <c r="D93" s="72"/>
      <c r="E93" s="121" t="s">
        <v>40</v>
      </c>
      <c r="F93" s="121"/>
      <c r="G93" s="121"/>
      <c r="H93" s="122"/>
      <c r="I93" s="122"/>
      <c r="J93" s="122"/>
      <c r="K93" s="124">
        <f>K50-K91</f>
        <v>849612.16000000015</v>
      </c>
    </row>
    <row r="94" spans="1:11" ht="15.75" thickTop="1" x14ac:dyDescent="0.25"/>
  </sheetData>
  <mergeCells count="8">
    <mergeCell ref="A85:E85"/>
    <mergeCell ref="E4:J4"/>
    <mergeCell ref="E5:J5"/>
    <mergeCell ref="E7:J7"/>
    <mergeCell ref="E46:J46"/>
    <mergeCell ref="E50:J50"/>
    <mergeCell ref="I57:I58"/>
    <mergeCell ref="J57:J5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4"/>
  <sheetViews>
    <sheetView topLeftCell="A49" workbookViewId="0">
      <selection activeCell="B7" sqref="B7"/>
    </sheetView>
  </sheetViews>
  <sheetFormatPr defaultRowHeight="15" x14ac:dyDescent="0.25"/>
  <cols>
    <col min="1" max="1" width="3" customWidth="1"/>
    <col min="2" max="2" width="8.85546875" customWidth="1"/>
    <col min="3" max="3" width="10.5703125" customWidth="1"/>
    <col min="4" max="4" width="15.28515625" customWidth="1"/>
    <col min="5" max="5" width="13.5703125" customWidth="1"/>
    <col min="7" max="7" width="7.42578125" customWidth="1"/>
    <col min="8" max="8" width="5.85546875" customWidth="1"/>
    <col min="9" max="9" width="10.5703125" bestFit="1" customWidth="1"/>
    <col min="11" max="11" width="14.42578125" customWidth="1"/>
    <col min="13" max="13" width="13.85546875" customWidth="1"/>
  </cols>
  <sheetData>
    <row r="1" spans="1:11" ht="29.25" customHeight="1" thickBot="1" x14ac:dyDescent="0.4">
      <c r="C1" s="173" t="s">
        <v>155</v>
      </c>
      <c r="D1" s="173"/>
      <c r="E1" s="173"/>
      <c r="F1" s="152" t="s">
        <v>156</v>
      </c>
      <c r="H1" s="152"/>
    </row>
    <row r="2" spans="1:11" ht="24" thickTop="1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</row>
    <row r="3" spans="1:11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6.25" customHeight="1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5"/>
      <c r="K4" s="73" t="s">
        <v>5</v>
      </c>
    </row>
    <row r="5" spans="1:11" x14ac:dyDescent="0.25">
      <c r="A5" s="125">
        <v>1</v>
      </c>
      <c r="B5" s="80">
        <v>45533</v>
      </c>
      <c r="C5" s="78" t="s">
        <v>25</v>
      </c>
      <c r="D5" s="76" t="s">
        <v>157</v>
      </c>
      <c r="E5" s="232" t="s">
        <v>158</v>
      </c>
      <c r="F5" s="232"/>
      <c r="G5" s="232"/>
      <c r="H5" s="232"/>
      <c r="I5" s="232"/>
      <c r="J5" s="232"/>
      <c r="K5" s="179">
        <v>2000000</v>
      </c>
    </row>
    <row r="6" spans="1:11" ht="16.5" customHeight="1" x14ac:dyDescent="0.25">
      <c r="A6" s="72">
        <v>2</v>
      </c>
      <c r="B6" s="86">
        <v>45538</v>
      </c>
      <c r="C6" s="78" t="s">
        <v>25</v>
      </c>
      <c r="D6" s="76" t="s">
        <v>179</v>
      </c>
      <c r="E6" s="72" t="s">
        <v>158</v>
      </c>
      <c r="F6" s="91"/>
      <c r="G6" s="178"/>
      <c r="H6" s="178"/>
      <c r="I6" s="178"/>
      <c r="J6" s="178"/>
      <c r="K6" s="180">
        <v>1200000</v>
      </c>
    </row>
    <row r="7" spans="1:11" x14ac:dyDescent="0.25">
      <c r="A7" s="153">
        <v>2</v>
      </c>
      <c r="B7" s="80">
        <v>45608</v>
      </c>
      <c r="C7" s="78" t="s">
        <v>24</v>
      </c>
      <c r="D7" s="76" t="s">
        <v>270</v>
      </c>
      <c r="E7" s="72" t="s">
        <v>158</v>
      </c>
      <c r="F7" s="91"/>
      <c r="G7" s="72" t="s">
        <v>268</v>
      </c>
      <c r="H7" s="91" t="s">
        <v>269</v>
      </c>
      <c r="I7" s="72"/>
      <c r="J7" s="91"/>
      <c r="K7" s="139">
        <v>1800000</v>
      </c>
    </row>
    <row r="8" spans="1:11" x14ac:dyDescent="0.25">
      <c r="A8" s="154">
        <v>3</v>
      </c>
      <c r="B8" s="80"/>
      <c r="C8" s="78"/>
      <c r="D8" s="76"/>
      <c r="E8" s="126"/>
      <c r="F8" s="127"/>
      <c r="G8" s="127"/>
      <c r="H8" s="127"/>
      <c r="I8" s="127"/>
      <c r="J8" s="128"/>
      <c r="K8" s="77"/>
    </row>
    <row r="9" spans="1:11" x14ac:dyDescent="0.25">
      <c r="A9" s="154">
        <v>4</v>
      </c>
      <c r="B9" s="80"/>
      <c r="C9" s="145"/>
      <c r="D9" s="76"/>
      <c r="E9" s="126"/>
      <c r="F9" s="127"/>
      <c r="G9" s="127"/>
      <c r="H9" s="127"/>
      <c r="I9" s="127"/>
      <c r="J9" s="128"/>
      <c r="K9" s="77"/>
    </row>
    <row r="10" spans="1:11" x14ac:dyDescent="0.25">
      <c r="A10" s="153">
        <v>5</v>
      </c>
      <c r="B10" s="80"/>
      <c r="C10" s="145"/>
      <c r="D10" s="76"/>
      <c r="E10" s="126"/>
      <c r="F10" s="127"/>
      <c r="G10" s="127"/>
      <c r="H10" s="127"/>
      <c r="I10" s="127"/>
      <c r="J10" s="128"/>
      <c r="K10" s="77"/>
    </row>
    <row r="11" spans="1:11" x14ac:dyDescent="0.25">
      <c r="A11" s="154">
        <v>6</v>
      </c>
      <c r="B11" s="80"/>
      <c r="C11" s="145"/>
      <c r="D11" s="76"/>
      <c r="E11" s="126"/>
      <c r="F11" s="127"/>
      <c r="G11" s="127"/>
      <c r="H11" s="127"/>
      <c r="I11" s="127"/>
      <c r="J11" s="128"/>
      <c r="K11" s="77"/>
    </row>
    <row r="12" spans="1:11" x14ac:dyDescent="0.25">
      <c r="A12" s="154">
        <v>7</v>
      </c>
      <c r="B12" s="80"/>
      <c r="C12" s="145"/>
      <c r="D12" s="76"/>
      <c r="E12" s="126"/>
      <c r="F12" s="127"/>
      <c r="G12" s="127"/>
      <c r="H12" s="127"/>
      <c r="I12" s="127"/>
      <c r="J12" s="128"/>
      <c r="K12" s="77"/>
    </row>
    <row r="13" spans="1:11" x14ac:dyDescent="0.25">
      <c r="A13" s="88">
        <v>8</v>
      </c>
      <c r="B13" s="75"/>
      <c r="C13" s="78"/>
      <c r="D13" s="76"/>
      <c r="E13" s="126"/>
      <c r="F13" s="127"/>
      <c r="G13" s="127"/>
      <c r="H13" s="127"/>
      <c r="I13" s="127"/>
      <c r="J13" s="128"/>
      <c r="K13" s="77"/>
    </row>
    <row r="14" spans="1:11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8"/>
      <c r="K14" s="77"/>
    </row>
    <row r="15" spans="1:11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8"/>
      <c r="K15" s="77"/>
    </row>
    <row r="16" spans="1:11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8"/>
      <c r="K16" s="77"/>
    </row>
    <row r="17" spans="1:11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8"/>
      <c r="K17" s="77"/>
    </row>
    <row r="18" spans="1:11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8"/>
      <c r="K18" s="77"/>
    </row>
    <row r="19" spans="1:11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8"/>
      <c r="K19" s="77"/>
    </row>
    <row r="20" spans="1:11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8"/>
      <c r="K20" s="77"/>
    </row>
    <row r="21" spans="1:11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8"/>
      <c r="K21" s="77"/>
    </row>
    <row r="22" spans="1:11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8"/>
      <c r="K22" s="77"/>
    </row>
    <row r="23" spans="1:11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8"/>
      <c r="K23" s="77"/>
    </row>
    <row r="24" spans="1:11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8"/>
      <c r="K24" s="77"/>
    </row>
    <row r="25" spans="1:11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8"/>
      <c r="K25" s="77"/>
    </row>
    <row r="26" spans="1:11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8"/>
      <c r="K26" s="77"/>
    </row>
    <row r="27" spans="1:11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8"/>
      <c r="K27" s="77"/>
    </row>
    <row r="28" spans="1:11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8"/>
      <c r="K28" s="77"/>
    </row>
    <row r="29" spans="1:11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8"/>
      <c r="K29" s="77"/>
    </row>
    <row r="30" spans="1:11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8"/>
      <c r="K30" s="77"/>
    </row>
    <row r="31" spans="1:11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8"/>
      <c r="K31" s="77"/>
    </row>
    <row r="32" spans="1:11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8"/>
      <c r="K32" s="77"/>
    </row>
    <row r="33" spans="1:11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8"/>
      <c r="K33" s="77"/>
    </row>
    <row r="34" spans="1:11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8"/>
      <c r="K34" s="77"/>
    </row>
    <row r="35" spans="1:11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8"/>
      <c r="K35" s="77"/>
    </row>
    <row r="36" spans="1:11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8"/>
      <c r="K36" s="77"/>
    </row>
    <row r="37" spans="1:11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8"/>
      <c r="K37" s="77"/>
    </row>
    <row r="38" spans="1:11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8"/>
      <c r="K38" s="77"/>
    </row>
    <row r="39" spans="1:11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8"/>
      <c r="K39" s="77"/>
    </row>
    <row r="40" spans="1:11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8"/>
      <c r="K40" s="77"/>
    </row>
    <row r="41" spans="1:11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8"/>
      <c r="K41" s="77"/>
    </row>
    <row r="42" spans="1:11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8"/>
      <c r="K42" s="77"/>
    </row>
    <row r="43" spans="1:11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8"/>
      <c r="K43" s="77"/>
    </row>
    <row r="44" spans="1:11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8"/>
      <c r="K44" s="77"/>
    </row>
    <row r="45" spans="1:11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8"/>
      <c r="K45" s="77"/>
    </row>
    <row r="46" spans="1:11" x14ac:dyDescent="0.25">
      <c r="A46" s="84">
        <v>41</v>
      </c>
      <c r="B46" s="93"/>
      <c r="C46" s="90"/>
      <c r="D46" s="76"/>
      <c r="E46" s="236" t="s">
        <v>110</v>
      </c>
      <c r="F46" s="237"/>
      <c r="G46" s="237"/>
      <c r="H46" s="237"/>
      <c r="I46" s="237"/>
      <c r="J46" s="238"/>
      <c r="K46" s="77"/>
    </row>
    <row r="47" spans="1:11" x14ac:dyDescent="0.25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</row>
    <row r="48" spans="1:11" x14ac:dyDescent="0.25">
      <c r="A48" s="88"/>
      <c r="B48" s="93"/>
      <c r="C48" s="90"/>
      <c r="D48" s="76"/>
      <c r="E48" s="76"/>
      <c r="F48" s="76"/>
      <c r="G48" s="76"/>
      <c r="H48" s="76"/>
      <c r="I48" s="76"/>
      <c r="J48" s="76"/>
      <c r="K48" s="92"/>
    </row>
    <row r="49" spans="1:13" x14ac:dyDescent="0.25">
      <c r="A49" s="88"/>
      <c r="B49" s="93"/>
      <c r="C49" s="90"/>
      <c r="D49" s="76"/>
      <c r="E49" s="76"/>
      <c r="F49" s="76"/>
      <c r="G49" s="76"/>
      <c r="H49" s="76"/>
      <c r="I49" s="76"/>
      <c r="J49" s="76"/>
      <c r="K49" s="92"/>
    </row>
    <row r="50" spans="1:13" ht="15.75" thickBot="1" x14ac:dyDescent="0.3">
      <c r="A50" s="84"/>
      <c r="B50" s="94"/>
      <c r="C50" s="85"/>
      <c r="D50" s="85"/>
      <c r="E50" s="246" t="s">
        <v>26</v>
      </c>
      <c r="F50" s="247"/>
      <c r="G50" s="247"/>
      <c r="H50" s="247"/>
      <c r="I50" s="247"/>
      <c r="J50" s="248"/>
      <c r="K50" s="130">
        <f>SUM(K5:K46)</f>
        <v>5000000</v>
      </c>
    </row>
    <row r="51" spans="1:13" ht="15.75" thickTop="1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9"/>
    </row>
    <row r="52" spans="1:13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9"/>
    </row>
    <row r="53" spans="1:13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9"/>
    </row>
    <row r="54" spans="1:13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98"/>
      <c r="J54" s="98"/>
      <c r="K54" s="99"/>
    </row>
    <row r="55" spans="1:13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9"/>
    </row>
    <row r="56" spans="1:13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9"/>
    </row>
    <row r="57" spans="1:13" ht="51.75" thickBot="1" x14ac:dyDescent="0.3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41" t="s">
        <v>18</v>
      </c>
    </row>
    <row r="58" spans="1:13" ht="16.5" thickTop="1" thickBot="1" x14ac:dyDescent="0.3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30"/>
      <c r="K58" s="109"/>
      <c r="M58" s="124">
        <v>3434306.55</v>
      </c>
    </row>
    <row r="59" spans="1:13" ht="15.75" thickTop="1" x14ac:dyDescent="0.25">
      <c r="A59" s="110">
        <v>1</v>
      </c>
      <c r="B59" s="83"/>
      <c r="C59" s="80"/>
      <c r="D59" s="80"/>
      <c r="E59" s="74"/>
      <c r="F59" s="74"/>
      <c r="G59" s="74"/>
      <c r="H59" s="74"/>
      <c r="I59" s="77"/>
      <c r="J59" s="74"/>
      <c r="K59" s="111"/>
      <c r="M59" s="165">
        <v>3200000</v>
      </c>
    </row>
    <row r="60" spans="1:13" x14ac:dyDescent="0.25">
      <c r="A60" s="110">
        <v>2</v>
      </c>
      <c r="B60" s="74"/>
      <c r="C60" s="75"/>
      <c r="D60" s="80"/>
      <c r="E60" s="74"/>
      <c r="F60" s="74"/>
      <c r="G60" s="74"/>
      <c r="H60" s="74"/>
      <c r="I60" s="77"/>
      <c r="K60" s="111"/>
      <c r="M60" s="188">
        <f>M58-M59</f>
        <v>234306.54999999981</v>
      </c>
    </row>
    <row r="61" spans="1:13" x14ac:dyDescent="0.25">
      <c r="A61" s="110">
        <v>3</v>
      </c>
      <c r="C61" s="80"/>
      <c r="D61" s="80"/>
      <c r="E61" s="74"/>
      <c r="F61" s="74" t="s">
        <v>30</v>
      </c>
      <c r="G61" s="74"/>
      <c r="H61" s="74"/>
      <c r="I61" s="77"/>
      <c r="J61" s="74"/>
      <c r="K61" s="111">
        <f t="shared" ref="K61:K84" si="0">I61*J61</f>
        <v>0</v>
      </c>
    </row>
    <row r="62" spans="1:13" x14ac:dyDescent="0.25">
      <c r="A62" s="110">
        <v>4</v>
      </c>
      <c r="B62" s="83"/>
      <c r="C62" s="80"/>
      <c r="D62" s="80"/>
      <c r="E62" s="74"/>
      <c r="F62" s="74" t="s">
        <v>30</v>
      </c>
      <c r="G62" s="74"/>
      <c r="H62" s="74"/>
      <c r="I62" s="77"/>
      <c r="J62" s="74"/>
      <c r="K62" s="111">
        <f t="shared" si="0"/>
        <v>0</v>
      </c>
    </row>
    <row r="63" spans="1:13" x14ac:dyDescent="0.25">
      <c r="A63" s="110">
        <v>5</v>
      </c>
      <c r="B63" s="83"/>
      <c r="C63" s="80"/>
      <c r="D63" s="80"/>
      <c r="E63" s="74"/>
      <c r="F63" s="74" t="s">
        <v>30</v>
      </c>
      <c r="G63" s="74"/>
      <c r="H63" s="74"/>
      <c r="I63" s="77"/>
      <c r="J63" s="74"/>
      <c r="K63" s="111">
        <f t="shared" si="0"/>
        <v>0</v>
      </c>
    </row>
    <row r="64" spans="1:13" x14ac:dyDescent="0.25">
      <c r="A64" s="110">
        <v>6</v>
      </c>
      <c r="B64" s="83"/>
      <c r="C64" s="80"/>
      <c r="D64" s="80"/>
      <c r="E64" s="74"/>
      <c r="F64" s="74" t="s">
        <v>30</v>
      </c>
      <c r="G64" s="74"/>
      <c r="H64" s="74"/>
      <c r="I64" s="77"/>
      <c r="J64" s="74"/>
      <c r="K64" s="111">
        <f t="shared" si="0"/>
        <v>0</v>
      </c>
    </row>
    <row r="65" spans="1:11" x14ac:dyDescent="0.25">
      <c r="A65" s="52">
        <v>7</v>
      </c>
      <c r="B65" s="83"/>
      <c r="C65" s="80"/>
      <c r="D65" s="80"/>
      <c r="E65" s="74"/>
      <c r="F65" s="74" t="s">
        <v>30</v>
      </c>
      <c r="G65" s="74"/>
      <c r="H65" s="74"/>
      <c r="I65" s="77"/>
      <c r="J65" s="74"/>
      <c r="K65" s="111">
        <f t="shared" si="0"/>
        <v>0</v>
      </c>
    </row>
    <row r="66" spans="1:11" x14ac:dyDescent="0.25">
      <c r="A66" s="52">
        <v>8</v>
      </c>
      <c r="B66" s="83"/>
      <c r="C66" s="80"/>
      <c r="D66" s="80"/>
      <c r="E66" s="74"/>
      <c r="F66" s="74" t="s">
        <v>30</v>
      </c>
      <c r="G66" s="74"/>
      <c r="H66" s="74"/>
      <c r="I66" s="77"/>
      <c r="J66" s="74"/>
      <c r="K66" s="111">
        <f t="shared" si="0"/>
        <v>0</v>
      </c>
    </row>
    <row r="67" spans="1:11" x14ac:dyDescent="0.25">
      <c r="A67" s="52">
        <v>9</v>
      </c>
      <c r="B67" s="85"/>
      <c r="C67" s="86"/>
      <c r="D67" s="80"/>
      <c r="E67" s="74"/>
      <c r="F67" s="74" t="s">
        <v>30</v>
      </c>
      <c r="G67" s="74"/>
      <c r="H67" s="74"/>
      <c r="I67" s="87"/>
      <c r="J67" s="85"/>
      <c r="K67" s="111">
        <f t="shared" si="0"/>
        <v>0</v>
      </c>
    </row>
    <row r="68" spans="1:11" x14ac:dyDescent="0.25">
      <c r="A68" s="52">
        <v>10</v>
      </c>
      <c r="B68" s="74"/>
      <c r="C68" s="80"/>
      <c r="D68" s="80"/>
      <c r="E68" s="74"/>
      <c r="F68" s="74" t="s">
        <v>30</v>
      </c>
      <c r="G68" s="74"/>
      <c r="H68" s="74"/>
      <c r="I68" s="77"/>
      <c r="J68" s="74"/>
      <c r="K68" s="111">
        <f t="shared" si="0"/>
        <v>0</v>
      </c>
    </row>
    <row r="69" spans="1:11" x14ac:dyDescent="0.25">
      <c r="A69" s="52">
        <v>11</v>
      </c>
      <c r="B69" s="74"/>
      <c r="C69" s="80"/>
      <c r="D69" s="80"/>
      <c r="E69" s="74"/>
      <c r="F69" s="74" t="s">
        <v>30</v>
      </c>
      <c r="G69" s="74"/>
      <c r="H69" s="74"/>
      <c r="I69" s="77"/>
      <c r="J69" s="74"/>
      <c r="K69" s="111">
        <f t="shared" si="0"/>
        <v>0</v>
      </c>
    </row>
    <row r="70" spans="1:11" x14ac:dyDescent="0.25">
      <c r="A70" s="52">
        <v>12</v>
      </c>
      <c r="B70" s="74"/>
      <c r="C70" s="80"/>
      <c r="D70" s="80"/>
      <c r="F70" s="74" t="s">
        <v>30</v>
      </c>
      <c r="G70" s="74"/>
      <c r="H70" s="74"/>
      <c r="I70" s="77"/>
      <c r="J70" s="74"/>
      <c r="K70" s="111">
        <f t="shared" si="0"/>
        <v>0</v>
      </c>
    </row>
    <row r="71" spans="1:11" x14ac:dyDescent="0.25">
      <c r="A71" s="52">
        <v>13</v>
      </c>
      <c r="B71" s="74"/>
      <c r="C71" s="80"/>
      <c r="D71" s="80"/>
      <c r="E71" s="74"/>
      <c r="F71" s="74" t="s">
        <v>30</v>
      </c>
      <c r="G71" s="74"/>
      <c r="H71" s="74"/>
      <c r="I71" s="77"/>
      <c r="J71" s="74"/>
      <c r="K71" s="111">
        <f t="shared" si="0"/>
        <v>0</v>
      </c>
    </row>
    <row r="72" spans="1:11" x14ac:dyDescent="0.25">
      <c r="A72" s="52">
        <v>14</v>
      </c>
      <c r="B72" s="74"/>
      <c r="C72" s="80"/>
      <c r="D72" s="80"/>
      <c r="E72" s="74"/>
      <c r="F72" s="74" t="s">
        <v>30</v>
      </c>
      <c r="G72" s="74"/>
      <c r="H72" s="74"/>
      <c r="I72" s="77"/>
      <c r="J72" s="74"/>
      <c r="K72" s="111">
        <f t="shared" si="0"/>
        <v>0</v>
      </c>
    </row>
    <row r="73" spans="1:11" x14ac:dyDescent="0.25">
      <c r="A73" s="52">
        <v>15</v>
      </c>
      <c r="B73" s="74"/>
      <c r="C73" s="80"/>
      <c r="D73" s="80"/>
      <c r="E73" s="74"/>
      <c r="F73" s="74" t="s">
        <v>30</v>
      </c>
      <c r="G73" s="74"/>
      <c r="H73" s="74"/>
      <c r="I73" s="77"/>
      <c r="J73" s="74"/>
      <c r="K73" s="111">
        <f t="shared" si="0"/>
        <v>0</v>
      </c>
    </row>
    <row r="74" spans="1:11" x14ac:dyDescent="0.25">
      <c r="A74" s="52">
        <v>16</v>
      </c>
      <c r="B74" s="74"/>
      <c r="C74" s="80"/>
      <c r="D74" s="80"/>
      <c r="E74" s="74"/>
      <c r="F74" s="74" t="s">
        <v>30</v>
      </c>
      <c r="G74" s="74"/>
      <c r="H74" s="74"/>
      <c r="I74" s="77"/>
      <c r="J74" s="74"/>
      <c r="K74" s="111">
        <f t="shared" si="0"/>
        <v>0</v>
      </c>
    </row>
    <row r="75" spans="1:11" x14ac:dyDescent="0.25">
      <c r="A75" s="52">
        <v>17</v>
      </c>
      <c r="B75" s="74"/>
      <c r="C75" s="80"/>
      <c r="D75" s="80"/>
      <c r="E75" s="74"/>
      <c r="F75" s="74" t="s">
        <v>30</v>
      </c>
      <c r="G75" s="74"/>
      <c r="H75" s="74"/>
      <c r="I75" s="77"/>
      <c r="J75" s="74"/>
      <c r="K75" s="111">
        <f t="shared" si="0"/>
        <v>0</v>
      </c>
    </row>
    <row r="76" spans="1:11" x14ac:dyDescent="0.25">
      <c r="A76" s="52">
        <v>18</v>
      </c>
      <c r="B76" s="133"/>
      <c r="C76" s="80"/>
      <c r="D76" s="80"/>
      <c r="E76" s="74"/>
      <c r="F76" s="74" t="s">
        <v>30</v>
      </c>
      <c r="G76" s="74"/>
      <c r="H76" s="74"/>
      <c r="I76" s="77"/>
      <c r="J76" s="74"/>
      <c r="K76" s="111">
        <f t="shared" si="0"/>
        <v>0</v>
      </c>
    </row>
    <row r="77" spans="1:11" x14ac:dyDescent="0.25">
      <c r="A77" s="52">
        <v>19</v>
      </c>
      <c r="B77" s="74"/>
      <c r="C77" s="80"/>
      <c r="D77" s="80"/>
      <c r="E77" s="74"/>
      <c r="F77" s="74" t="s">
        <v>30</v>
      </c>
      <c r="G77" s="74"/>
      <c r="H77" s="74"/>
      <c r="I77" s="77"/>
      <c r="J77" s="74"/>
      <c r="K77" s="111">
        <f t="shared" si="0"/>
        <v>0</v>
      </c>
    </row>
    <row r="78" spans="1:11" x14ac:dyDescent="0.25">
      <c r="A78" s="52">
        <v>20</v>
      </c>
      <c r="B78" s="74"/>
      <c r="C78" s="80"/>
      <c r="D78" s="80"/>
      <c r="E78" s="74"/>
      <c r="F78" s="74" t="s">
        <v>30</v>
      </c>
      <c r="G78" s="74"/>
      <c r="H78" s="74"/>
      <c r="I78" s="134"/>
      <c r="J78" s="74"/>
      <c r="K78" s="111">
        <f t="shared" si="0"/>
        <v>0</v>
      </c>
    </row>
    <row r="79" spans="1:11" x14ac:dyDescent="0.25">
      <c r="A79" s="52">
        <v>21</v>
      </c>
      <c r="B79" s="74"/>
      <c r="C79" s="80"/>
      <c r="D79" s="80"/>
      <c r="E79" s="74"/>
      <c r="F79" s="74" t="s">
        <v>30</v>
      </c>
      <c r="G79" s="74"/>
      <c r="H79" s="74"/>
      <c r="I79" s="134"/>
      <c r="J79" s="74"/>
      <c r="K79" s="111">
        <f t="shared" si="0"/>
        <v>0</v>
      </c>
    </row>
    <row r="80" spans="1:11" x14ac:dyDescent="0.25">
      <c r="A80" s="52">
        <v>22</v>
      </c>
      <c r="B80" s="74"/>
      <c r="C80" s="80"/>
      <c r="D80" s="80"/>
      <c r="E80" s="74"/>
      <c r="F80" s="74" t="s">
        <v>30</v>
      </c>
      <c r="G80" s="74"/>
      <c r="H80" s="74"/>
      <c r="I80" s="134"/>
      <c r="J80" s="74"/>
      <c r="K80" s="111">
        <f t="shared" si="0"/>
        <v>0</v>
      </c>
    </row>
    <row r="81" spans="1:11" x14ac:dyDescent="0.25">
      <c r="A81" s="52">
        <v>23</v>
      </c>
      <c r="B81" s="74"/>
      <c r="C81" s="80"/>
      <c r="D81" s="80"/>
      <c r="E81" s="74"/>
      <c r="F81" s="74" t="s">
        <v>30</v>
      </c>
      <c r="G81" s="74"/>
      <c r="H81" s="74"/>
      <c r="I81" s="134"/>
      <c r="J81" s="74"/>
      <c r="K81" s="111">
        <f t="shared" si="0"/>
        <v>0</v>
      </c>
    </row>
    <row r="82" spans="1:11" x14ac:dyDescent="0.25">
      <c r="A82" s="52">
        <v>24</v>
      </c>
      <c r="B82" s="74"/>
      <c r="C82" s="80"/>
      <c r="D82" s="80"/>
      <c r="E82" s="74"/>
      <c r="F82" s="74" t="s">
        <v>30</v>
      </c>
      <c r="G82" s="74"/>
      <c r="H82" s="74"/>
      <c r="I82" s="134"/>
      <c r="J82" s="74"/>
      <c r="K82" s="111">
        <f t="shared" si="0"/>
        <v>0</v>
      </c>
    </row>
    <row r="83" spans="1:11" x14ac:dyDescent="0.25">
      <c r="A83" s="52">
        <v>25</v>
      </c>
      <c r="B83" s="74"/>
      <c r="C83" s="80"/>
      <c r="D83" s="80"/>
      <c r="E83" s="74"/>
      <c r="F83" s="74" t="s">
        <v>30</v>
      </c>
      <c r="G83" s="74"/>
      <c r="H83" s="74"/>
      <c r="I83" s="134"/>
      <c r="J83" s="74"/>
      <c r="K83" s="111">
        <f t="shared" si="0"/>
        <v>0</v>
      </c>
    </row>
    <row r="84" spans="1:11" x14ac:dyDescent="0.25">
      <c r="A84" s="52">
        <v>26</v>
      </c>
      <c r="B84" s="112"/>
      <c r="C84" s="113"/>
      <c r="D84" s="112"/>
      <c r="E84" s="112"/>
      <c r="F84" s="74" t="s">
        <v>30</v>
      </c>
      <c r="G84" s="135"/>
      <c r="H84" s="85"/>
      <c r="I84" s="136"/>
      <c r="J84" s="85"/>
      <c r="K84" s="111">
        <f t="shared" si="0"/>
        <v>0</v>
      </c>
    </row>
    <row r="85" spans="1:11" x14ac:dyDescent="0.25">
      <c r="A85" s="231" t="s">
        <v>37</v>
      </c>
      <c r="B85" s="231"/>
      <c r="C85" s="231"/>
      <c r="D85" s="231"/>
      <c r="E85" s="231"/>
      <c r="F85" s="117"/>
      <c r="G85" s="117"/>
      <c r="H85" s="117"/>
      <c r="I85" s="118"/>
      <c r="J85" s="119"/>
      <c r="K85" s="120">
        <f>SUM(K59:K84)</f>
        <v>0</v>
      </c>
    </row>
    <row r="86" spans="1:11" x14ac:dyDescent="0.25">
      <c r="A86" s="72"/>
      <c r="B86" s="72"/>
      <c r="C86" s="72"/>
      <c r="D86" s="72"/>
      <c r="E86" s="72"/>
      <c r="F86" s="72"/>
      <c r="G86" s="72"/>
      <c r="H86" s="72"/>
      <c r="I86" s="72"/>
      <c r="J86" s="72"/>
      <c r="K86" s="72"/>
    </row>
    <row r="87" spans="1:11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</row>
    <row r="88" spans="1:11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</row>
    <row r="89" spans="1:11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</row>
    <row r="90" spans="1:11" ht="15.75" thickBot="1" x14ac:dyDescent="0.3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</row>
    <row r="91" spans="1:11" ht="16.5" thickTop="1" thickBot="1" x14ac:dyDescent="0.3">
      <c r="A91" s="72"/>
      <c r="B91" s="72"/>
      <c r="C91" s="72"/>
      <c r="D91" s="72"/>
      <c r="E91" s="121" t="s">
        <v>38</v>
      </c>
      <c r="F91" s="121"/>
      <c r="G91" s="121"/>
      <c r="H91" s="122"/>
      <c r="I91" s="122"/>
      <c r="J91" s="122"/>
      <c r="K91" s="123">
        <f>K85</f>
        <v>0</v>
      </c>
    </row>
    <row r="92" spans="1:11" ht="16.5" thickTop="1" thickBot="1" x14ac:dyDescent="0.3">
      <c r="A92" s="72"/>
      <c r="B92" s="72"/>
      <c r="C92" s="72"/>
      <c r="D92" s="72"/>
      <c r="E92" s="33"/>
      <c r="F92" s="33"/>
      <c r="G92" s="33"/>
      <c r="H92" s="72"/>
      <c r="I92" s="72"/>
      <c r="J92" s="72"/>
      <c r="K92" s="72"/>
    </row>
    <row r="93" spans="1:11" ht="16.5" thickTop="1" thickBot="1" x14ac:dyDescent="0.3">
      <c r="A93" s="72"/>
      <c r="B93" s="72"/>
      <c r="C93" s="72"/>
      <c r="D93" s="72"/>
      <c r="E93" s="121" t="s">
        <v>40</v>
      </c>
      <c r="F93" s="121"/>
      <c r="G93" s="121"/>
      <c r="H93" s="122"/>
      <c r="I93" s="122"/>
      <c r="J93" s="122"/>
      <c r="K93" s="124">
        <f>K50-K91</f>
        <v>5000000</v>
      </c>
    </row>
    <row r="94" spans="1:11" ht="15.75" thickTop="1" x14ac:dyDescent="0.25"/>
  </sheetData>
  <mergeCells count="7">
    <mergeCell ref="A85:E85"/>
    <mergeCell ref="E4:J4"/>
    <mergeCell ref="E5:J5"/>
    <mergeCell ref="E46:J46"/>
    <mergeCell ref="E50:J50"/>
    <mergeCell ref="I57:I58"/>
    <mergeCell ref="J57:J58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L95"/>
  <sheetViews>
    <sheetView topLeftCell="A73" workbookViewId="0">
      <selection activeCell="F59" sqref="F59:F62"/>
    </sheetView>
  </sheetViews>
  <sheetFormatPr defaultRowHeight="15" x14ac:dyDescent="0.25"/>
  <cols>
    <col min="12" max="12" width="14.5703125" customWidth="1"/>
  </cols>
  <sheetData>
    <row r="2" spans="1:12" ht="23.25" x14ac:dyDescent="0.35">
      <c r="A2" s="70" t="s">
        <v>22</v>
      </c>
      <c r="B2" s="71"/>
      <c r="C2" s="72"/>
      <c r="D2" s="72"/>
      <c r="E2" s="72"/>
      <c r="F2" s="72"/>
      <c r="G2" s="72"/>
      <c r="H2" s="72"/>
      <c r="I2" s="72"/>
      <c r="J2" s="72"/>
      <c r="K2" s="72"/>
      <c r="L2" s="72"/>
    </row>
    <row r="3" spans="1:12" x14ac:dyDescent="0.25">
      <c r="A3" s="72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</row>
    <row r="4" spans="1:12" x14ac:dyDescent="0.25">
      <c r="A4" s="73" t="s">
        <v>1</v>
      </c>
      <c r="B4" s="73" t="s">
        <v>0</v>
      </c>
      <c r="C4" s="73" t="s">
        <v>23</v>
      </c>
      <c r="D4" s="73" t="s">
        <v>2</v>
      </c>
      <c r="E4" s="223" t="s">
        <v>4</v>
      </c>
      <c r="F4" s="224"/>
      <c r="G4" s="224"/>
      <c r="H4" s="224"/>
      <c r="I4" s="224"/>
      <c r="J4" s="224"/>
      <c r="K4" s="225"/>
      <c r="L4" s="73" t="s">
        <v>5</v>
      </c>
    </row>
    <row r="5" spans="1:12" x14ac:dyDescent="0.25">
      <c r="A5" s="125">
        <v>1</v>
      </c>
      <c r="B5" s="80"/>
      <c r="C5" s="78"/>
      <c r="D5" s="76"/>
      <c r="E5" s="232"/>
      <c r="F5" s="232"/>
      <c r="G5" s="232"/>
      <c r="H5" s="232"/>
      <c r="I5" s="232"/>
      <c r="J5" s="232"/>
      <c r="K5" s="232"/>
      <c r="L5" s="77"/>
    </row>
    <row r="6" spans="1:12" x14ac:dyDescent="0.25">
      <c r="A6" s="72">
        <v>2</v>
      </c>
      <c r="B6" s="86"/>
      <c r="C6" s="78"/>
      <c r="D6" s="76"/>
      <c r="E6" s="232"/>
      <c r="F6" s="232"/>
      <c r="G6" s="232"/>
      <c r="H6" s="232"/>
      <c r="I6" s="232"/>
      <c r="J6" s="232"/>
      <c r="K6" s="232"/>
      <c r="L6" s="87"/>
    </row>
    <row r="7" spans="1:12" x14ac:dyDescent="0.25">
      <c r="A7" s="153">
        <v>2</v>
      </c>
      <c r="B7" s="80"/>
      <c r="C7" s="78"/>
      <c r="D7" s="76"/>
      <c r="E7" s="232"/>
      <c r="F7" s="232"/>
      <c r="G7" s="232"/>
      <c r="H7" s="232"/>
      <c r="I7" s="232"/>
      <c r="J7" s="232"/>
      <c r="K7" s="232"/>
      <c r="L7" s="77"/>
    </row>
    <row r="8" spans="1:12" x14ac:dyDescent="0.25">
      <c r="A8" s="154">
        <v>3</v>
      </c>
      <c r="B8" s="80"/>
      <c r="C8" s="145"/>
      <c r="D8" s="76"/>
      <c r="E8" s="126"/>
      <c r="F8" s="127"/>
      <c r="G8" s="127"/>
      <c r="H8" s="127"/>
      <c r="I8" s="127"/>
      <c r="J8" s="127"/>
      <c r="K8" s="128"/>
      <c r="L8" s="77"/>
    </row>
    <row r="9" spans="1:12" x14ac:dyDescent="0.25">
      <c r="A9" s="154">
        <v>4</v>
      </c>
      <c r="B9" s="80"/>
      <c r="C9" s="145"/>
      <c r="D9" s="76"/>
      <c r="E9" s="126"/>
      <c r="F9" s="127"/>
      <c r="G9" s="127"/>
      <c r="H9" s="127"/>
      <c r="I9" s="127"/>
      <c r="J9" s="127"/>
      <c r="K9" s="128"/>
      <c r="L9" s="77"/>
    </row>
    <row r="10" spans="1:12" x14ac:dyDescent="0.25">
      <c r="A10" s="153">
        <v>5</v>
      </c>
      <c r="B10" s="80"/>
      <c r="C10" s="145"/>
      <c r="D10" s="76"/>
      <c r="E10" s="126"/>
      <c r="F10" s="127"/>
      <c r="G10" s="127"/>
      <c r="H10" s="127"/>
      <c r="I10" s="127"/>
      <c r="J10" s="127"/>
      <c r="K10" s="128"/>
      <c r="L10" s="77"/>
    </row>
    <row r="11" spans="1:12" x14ac:dyDescent="0.25">
      <c r="A11" s="154">
        <v>6</v>
      </c>
      <c r="B11" s="80"/>
      <c r="C11" s="145"/>
      <c r="D11" s="76"/>
      <c r="E11" s="126"/>
      <c r="F11" s="127"/>
      <c r="G11" s="127"/>
      <c r="H11" s="127"/>
      <c r="I11" s="127"/>
      <c r="J11" s="127"/>
      <c r="K11" s="128"/>
      <c r="L11" s="77"/>
    </row>
    <row r="12" spans="1:12" x14ac:dyDescent="0.25">
      <c r="A12" s="154">
        <v>7</v>
      </c>
      <c r="B12" s="80"/>
      <c r="C12" s="145"/>
      <c r="D12" s="76"/>
      <c r="E12" s="126"/>
      <c r="F12" s="127"/>
      <c r="G12" s="127"/>
      <c r="H12" s="127"/>
      <c r="I12" s="127"/>
      <c r="J12" s="127"/>
      <c r="K12" s="128"/>
      <c r="L12" s="77"/>
    </row>
    <row r="13" spans="1:12" x14ac:dyDescent="0.25">
      <c r="A13" s="153">
        <v>8</v>
      </c>
      <c r="B13" s="80"/>
      <c r="C13" s="145"/>
      <c r="D13" s="76"/>
      <c r="E13" s="126"/>
      <c r="F13" s="127"/>
      <c r="G13" s="127"/>
      <c r="H13" s="127"/>
      <c r="I13" s="127"/>
      <c r="J13" s="127"/>
      <c r="K13" s="128"/>
      <c r="L13" s="77"/>
    </row>
    <row r="14" spans="1:12" x14ac:dyDescent="0.25">
      <c r="A14" s="125">
        <v>9</v>
      </c>
      <c r="B14" s="80"/>
      <c r="C14" s="78"/>
      <c r="D14" s="76"/>
      <c r="E14" s="126"/>
      <c r="F14" s="127"/>
      <c r="G14" s="127"/>
      <c r="H14" s="127"/>
      <c r="I14" s="127"/>
      <c r="J14" s="127"/>
      <c r="K14" s="128"/>
      <c r="L14" s="77"/>
    </row>
    <row r="15" spans="1:12" x14ac:dyDescent="0.25">
      <c r="A15" s="125">
        <v>10</v>
      </c>
      <c r="B15" s="80"/>
      <c r="C15" s="78"/>
      <c r="D15" s="76"/>
      <c r="E15" s="126"/>
      <c r="F15" s="127"/>
      <c r="G15" s="127"/>
      <c r="H15" s="127"/>
      <c r="I15" s="127"/>
      <c r="J15" s="127"/>
      <c r="K15" s="128"/>
      <c r="L15" s="77"/>
    </row>
    <row r="16" spans="1:12" x14ac:dyDescent="0.25">
      <c r="A16" s="84">
        <v>11</v>
      </c>
      <c r="B16" s="72"/>
      <c r="C16" s="77"/>
      <c r="D16" s="76"/>
      <c r="E16" s="126"/>
      <c r="F16" s="127"/>
      <c r="G16" s="127"/>
      <c r="H16" s="127"/>
      <c r="I16" s="127"/>
      <c r="J16" s="127"/>
      <c r="K16" s="128"/>
      <c r="L16" s="77"/>
    </row>
    <row r="17" spans="1:12" x14ac:dyDescent="0.25">
      <c r="A17" s="84">
        <v>12</v>
      </c>
      <c r="B17" s="80"/>
      <c r="C17" s="72"/>
      <c r="D17" s="76"/>
      <c r="E17" s="126"/>
      <c r="F17" s="127"/>
      <c r="G17" s="127"/>
      <c r="H17" s="127"/>
      <c r="I17" s="127"/>
      <c r="J17" s="127"/>
      <c r="K17" s="128"/>
      <c r="L17" s="77"/>
    </row>
    <row r="18" spans="1:12" x14ac:dyDescent="0.25">
      <c r="A18" s="84">
        <v>13</v>
      </c>
      <c r="B18" s="80"/>
      <c r="C18" s="77"/>
      <c r="D18" s="76"/>
      <c r="E18" s="126"/>
      <c r="F18" s="127"/>
      <c r="G18" s="127"/>
      <c r="H18" s="127"/>
      <c r="I18" s="127"/>
      <c r="J18" s="127"/>
      <c r="K18" s="128"/>
      <c r="L18" s="77"/>
    </row>
    <row r="19" spans="1:12" x14ac:dyDescent="0.25">
      <c r="A19" s="84">
        <v>14</v>
      </c>
      <c r="B19" s="80"/>
      <c r="C19" s="77"/>
      <c r="D19" s="76"/>
      <c r="E19" s="126"/>
      <c r="F19" s="127"/>
      <c r="G19" s="127"/>
      <c r="H19" s="127"/>
      <c r="I19" s="127"/>
      <c r="J19" s="127"/>
      <c r="K19" s="128"/>
      <c r="L19" s="77"/>
    </row>
    <row r="20" spans="1:12" x14ac:dyDescent="0.25">
      <c r="A20" s="84">
        <v>15</v>
      </c>
      <c r="B20" s="80"/>
      <c r="C20" s="77"/>
      <c r="D20" s="76"/>
      <c r="E20" s="126"/>
      <c r="F20" s="127"/>
      <c r="G20" s="127"/>
      <c r="H20" s="127"/>
      <c r="I20" s="127"/>
      <c r="J20" s="127"/>
      <c r="K20" s="128"/>
      <c r="L20" s="77"/>
    </row>
    <row r="21" spans="1:12" x14ac:dyDescent="0.25">
      <c r="A21" s="84">
        <v>16</v>
      </c>
      <c r="B21" s="80"/>
      <c r="C21" s="77"/>
      <c r="D21" s="76"/>
      <c r="E21" s="126"/>
      <c r="F21" s="127"/>
      <c r="G21" s="127"/>
      <c r="H21" s="127"/>
      <c r="I21" s="127"/>
      <c r="J21" s="127"/>
      <c r="K21" s="128"/>
      <c r="L21" s="77"/>
    </row>
    <row r="22" spans="1:12" x14ac:dyDescent="0.25">
      <c r="A22" s="84">
        <v>17</v>
      </c>
      <c r="B22" s="80"/>
      <c r="C22" s="77"/>
      <c r="D22" s="76"/>
      <c r="E22" s="126"/>
      <c r="F22" s="127"/>
      <c r="G22" s="127"/>
      <c r="H22" s="127"/>
      <c r="I22" s="127"/>
      <c r="J22" s="127"/>
      <c r="K22" s="128"/>
      <c r="L22" s="77"/>
    </row>
    <row r="23" spans="1:12" x14ac:dyDescent="0.25">
      <c r="A23" s="84">
        <v>18</v>
      </c>
      <c r="B23" s="80"/>
      <c r="C23" s="77"/>
      <c r="D23" s="76"/>
      <c r="E23" s="126"/>
      <c r="F23" s="127"/>
      <c r="G23" s="127"/>
      <c r="H23" s="127"/>
      <c r="I23" s="127"/>
      <c r="J23" s="127"/>
      <c r="K23" s="128"/>
      <c r="L23" s="77"/>
    </row>
    <row r="24" spans="1:12" x14ac:dyDescent="0.25">
      <c r="A24" s="84">
        <v>19</v>
      </c>
      <c r="B24" s="80"/>
      <c r="C24" s="77"/>
      <c r="D24" s="76"/>
      <c r="E24" s="126"/>
      <c r="F24" s="127"/>
      <c r="G24" s="127"/>
      <c r="H24" s="127"/>
      <c r="I24" s="127"/>
      <c r="J24" s="127"/>
      <c r="K24" s="128"/>
      <c r="L24" s="77"/>
    </row>
    <row r="25" spans="1:12" x14ac:dyDescent="0.25">
      <c r="A25" s="84">
        <v>20</v>
      </c>
      <c r="B25" s="80"/>
      <c r="C25" s="77"/>
      <c r="D25" s="76"/>
      <c r="E25" s="126"/>
      <c r="F25" s="127"/>
      <c r="G25" s="127"/>
      <c r="H25" s="127"/>
      <c r="I25" s="127"/>
      <c r="J25" s="127"/>
      <c r="K25" s="128"/>
      <c r="L25" s="77"/>
    </row>
    <row r="26" spans="1:12" x14ac:dyDescent="0.25">
      <c r="A26" s="84">
        <v>21</v>
      </c>
      <c r="B26" s="80"/>
      <c r="C26" s="77"/>
      <c r="D26" s="76"/>
      <c r="E26" s="126"/>
      <c r="F26" s="127"/>
      <c r="G26" s="127"/>
      <c r="H26" s="127"/>
      <c r="I26" s="127"/>
      <c r="J26" s="127"/>
      <c r="K26" s="128"/>
      <c r="L26" s="77"/>
    </row>
    <row r="27" spans="1:12" x14ac:dyDescent="0.25">
      <c r="A27" s="84">
        <v>22</v>
      </c>
      <c r="B27" s="80"/>
      <c r="C27" s="77"/>
      <c r="D27" s="76"/>
      <c r="E27" s="126"/>
      <c r="F27" s="127"/>
      <c r="G27" s="127"/>
      <c r="H27" s="127"/>
      <c r="I27" s="127"/>
      <c r="J27" s="127"/>
      <c r="K27" s="128"/>
      <c r="L27" s="77"/>
    </row>
    <row r="28" spans="1:12" x14ac:dyDescent="0.25">
      <c r="A28" s="84">
        <v>23</v>
      </c>
      <c r="B28" s="80"/>
      <c r="C28" s="129"/>
      <c r="D28" s="76"/>
      <c r="E28" s="126"/>
      <c r="F28" s="127"/>
      <c r="G28" s="127"/>
      <c r="H28" s="127"/>
      <c r="I28" s="127"/>
      <c r="J28" s="127"/>
      <c r="K28" s="128"/>
      <c r="L28" s="77"/>
    </row>
    <row r="29" spans="1:12" x14ac:dyDescent="0.25">
      <c r="A29" s="84">
        <v>24</v>
      </c>
      <c r="B29" s="80"/>
      <c r="C29" s="77"/>
      <c r="D29" s="76"/>
      <c r="E29" s="126"/>
      <c r="F29" s="127"/>
      <c r="G29" s="127"/>
      <c r="H29" s="127"/>
      <c r="I29" s="127"/>
      <c r="J29" s="127"/>
      <c r="K29" s="128"/>
      <c r="L29" s="77"/>
    </row>
    <row r="30" spans="1:12" x14ac:dyDescent="0.25">
      <c r="A30" s="84">
        <v>25</v>
      </c>
      <c r="B30" s="80"/>
      <c r="C30" s="77"/>
      <c r="D30" s="76"/>
      <c r="E30" s="126"/>
      <c r="F30" s="127"/>
      <c r="G30" s="127"/>
      <c r="H30" s="127"/>
      <c r="I30" s="127"/>
      <c r="J30" s="127"/>
      <c r="K30" s="128"/>
      <c r="L30" s="77"/>
    </row>
    <row r="31" spans="1:12" x14ac:dyDescent="0.25">
      <c r="A31" s="84">
        <v>26</v>
      </c>
      <c r="B31" s="80"/>
      <c r="C31" s="77"/>
      <c r="D31" s="76"/>
      <c r="E31" s="126"/>
      <c r="F31" s="127"/>
      <c r="G31" s="127"/>
      <c r="H31" s="127"/>
      <c r="I31" s="127"/>
      <c r="J31" s="127"/>
      <c r="K31" s="128"/>
      <c r="L31" s="77"/>
    </row>
    <row r="32" spans="1:12" x14ac:dyDescent="0.25">
      <c r="A32" s="84">
        <v>27</v>
      </c>
      <c r="B32" s="80"/>
      <c r="C32" s="77"/>
      <c r="D32" s="76"/>
      <c r="E32" s="126"/>
      <c r="F32" s="127"/>
      <c r="G32" s="127"/>
      <c r="H32" s="127"/>
      <c r="I32" s="127"/>
      <c r="J32" s="127"/>
      <c r="K32" s="128"/>
      <c r="L32" s="77"/>
    </row>
    <row r="33" spans="1:12" x14ac:dyDescent="0.25">
      <c r="A33" s="84">
        <v>28</v>
      </c>
      <c r="B33" s="80"/>
      <c r="C33" s="77"/>
      <c r="D33" s="76"/>
      <c r="E33" s="126"/>
      <c r="F33" s="127"/>
      <c r="G33" s="127"/>
      <c r="H33" s="127"/>
      <c r="I33" s="127"/>
      <c r="J33" s="127"/>
      <c r="K33" s="128"/>
      <c r="L33" s="77"/>
    </row>
    <row r="34" spans="1:12" x14ac:dyDescent="0.25">
      <c r="A34" s="84">
        <v>29</v>
      </c>
      <c r="B34" s="80"/>
      <c r="C34" s="77"/>
      <c r="D34" s="76"/>
      <c r="E34" s="126"/>
      <c r="F34" s="127"/>
      <c r="G34" s="127"/>
      <c r="H34" s="127"/>
      <c r="I34" s="127"/>
      <c r="J34" s="127"/>
      <c r="K34" s="128"/>
      <c r="L34" s="77"/>
    </row>
    <row r="35" spans="1:12" x14ac:dyDescent="0.25">
      <c r="A35" s="84">
        <v>30</v>
      </c>
      <c r="B35" s="80"/>
      <c r="C35" s="77"/>
      <c r="D35" s="76"/>
      <c r="E35" s="126"/>
      <c r="F35" s="127"/>
      <c r="G35" s="127"/>
      <c r="H35" s="127"/>
      <c r="I35" s="127"/>
      <c r="J35" s="127"/>
      <c r="K35" s="128"/>
      <c r="L35" s="77"/>
    </row>
    <row r="36" spans="1:12" x14ac:dyDescent="0.25">
      <c r="A36" s="84">
        <v>31</v>
      </c>
      <c r="B36" s="80"/>
      <c r="C36" s="77"/>
      <c r="D36" s="76"/>
      <c r="E36" s="126"/>
      <c r="F36" s="127"/>
      <c r="G36" s="127"/>
      <c r="H36" s="127"/>
      <c r="I36" s="127"/>
      <c r="J36" s="127"/>
      <c r="K36" s="128"/>
      <c r="L36" s="77"/>
    </row>
    <row r="37" spans="1:12" x14ac:dyDescent="0.25">
      <c r="A37" s="84">
        <v>32</v>
      </c>
      <c r="B37" s="80"/>
      <c r="C37" s="77"/>
      <c r="D37" s="76"/>
      <c r="E37" s="126"/>
      <c r="F37" s="127"/>
      <c r="G37" s="127"/>
      <c r="H37" s="127"/>
      <c r="I37" s="127"/>
      <c r="J37" s="127"/>
      <c r="K37" s="128"/>
      <c r="L37" s="77"/>
    </row>
    <row r="38" spans="1:12" x14ac:dyDescent="0.25">
      <c r="A38" s="84">
        <v>33</v>
      </c>
      <c r="B38" s="80"/>
      <c r="C38" s="77"/>
      <c r="D38" s="76"/>
      <c r="E38" s="126"/>
      <c r="F38" s="127"/>
      <c r="G38" s="127"/>
      <c r="H38" s="127"/>
      <c r="I38" s="127"/>
      <c r="J38" s="127"/>
      <c r="K38" s="128"/>
      <c r="L38" s="77"/>
    </row>
    <row r="39" spans="1:12" x14ac:dyDescent="0.25">
      <c r="A39" s="84">
        <v>34</v>
      </c>
      <c r="B39" s="80"/>
      <c r="C39" s="77"/>
      <c r="D39" s="76"/>
      <c r="E39" s="126"/>
      <c r="F39" s="127"/>
      <c r="G39" s="127"/>
      <c r="H39" s="127"/>
      <c r="I39" s="127"/>
      <c r="J39" s="127"/>
      <c r="K39" s="128"/>
      <c r="L39" s="77"/>
    </row>
    <row r="40" spans="1:12" x14ac:dyDescent="0.25">
      <c r="A40" s="84">
        <v>35</v>
      </c>
      <c r="B40" s="80"/>
      <c r="C40" s="77"/>
      <c r="D40" s="76"/>
      <c r="E40" s="126"/>
      <c r="F40" s="127"/>
      <c r="G40" s="127"/>
      <c r="H40" s="127"/>
      <c r="I40" s="127"/>
      <c r="J40" s="127"/>
      <c r="K40" s="128"/>
      <c r="L40" s="77"/>
    </row>
    <row r="41" spans="1:12" x14ac:dyDescent="0.25">
      <c r="A41" s="84">
        <v>36</v>
      </c>
      <c r="B41" s="80"/>
      <c r="C41" s="77"/>
      <c r="D41" s="76"/>
      <c r="E41" s="126"/>
      <c r="F41" s="127"/>
      <c r="G41" s="127"/>
      <c r="H41" s="127"/>
      <c r="I41" s="127"/>
      <c r="J41" s="127"/>
      <c r="K41" s="128"/>
      <c r="L41" s="77"/>
    </row>
    <row r="42" spans="1:12" x14ac:dyDescent="0.25">
      <c r="A42" s="84">
        <v>37</v>
      </c>
      <c r="B42" s="80"/>
      <c r="C42" s="77"/>
      <c r="D42" s="76"/>
      <c r="E42" s="126"/>
      <c r="F42" s="127"/>
      <c r="G42" s="127"/>
      <c r="H42" s="127"/>
      <c r="I42" s="127"/>
      <c r="J42" s="127"/>
      <c r="K42" s="128"/>
      <c r="L42" s="77"/>
    </row>
    <row r="43" spans="1:12" x14ac:dyDescent="0.25">
      <c r="A43" s="84">
        <v>38</v>
      </c>
      <c r="B43" s="80"/>
      <c r="C43" s="77"/>
      <c r="D43" s="76"/>
      <c r="E43" s="126"/>
      <c r="F43" s="127"/>
      <c r="G43" s="127"/>
      <c r="H43" s="127"/>
      <c r="I43" s="127"/>
      <c r="J43" s="127"/>
      <c r="K43" s="128"/>
      <c r="L43" s="77"/>
    </row>
    <row r="44" spans="1:12" x14ac:dyDescent="0.25">
      <c r="A44" s="84">
        <v>39</v>
      </c>
      <c r="B44" s="80"/>
      <c r="C44" s="77"/>
      <c r="D44" s="76"/>
      <c r="E44" s="126"/>
      <c r="F44" s="127"/>
      <c r="G44" s="127"/>
      <c r="H44" s="127"/>
      <c r="I44" s="127"/>
      <c r="J44" s="127"/>
      <c r="K44" s="128"/>
      <c r="L44" s="77"/>
    </row>
    <row r="45" spans="1:12" x14ac:dyDescent="0.25">
      <c r="A45" s="84">
        <v>40</v>
      </c>
      <c r="B45" s="80"/>
      <c r="C45" s="77"/>
      <c r="D45" s="76"/>
      <c r="E45" s="126"/>
      <c r="F45" s="127"/>
      <c r="G45" s="127"/>
      <c r="H45" s="127"/>
      <c r="I45" s="127"/>
      <c r="J45" s="127"/>
      <c r="K45" s="128"/>
      <c r="L45" s="77"/>
    </row>
    <row r="46" spans="1:12" x14ac:dyDescent="0.25">
      <c r="A46" s="84">
        <v>41</v>
      </c>
      <c r="B46" s="93"/>
      <c r="C46" s="90"/>
      <c r="D46" s="76"/>
      <c r="E46" s="236"/>
      <c r="F46" s="237"/>
      <c r="G46" s="237"/>
      <c r="H46" s="237"/>
      <c r="I46" s="237"/>
      <c r="J46" s="237"/>
      <c r="K46" s="238"/>
      <c r="L46" s="77"/>
    </row>
    <row r="47" spans="1:12" ht="15.75" thickBot="1" x14ac:dyDescent="0.3">
      <c r="A47" s="84"/>
      <c r="B47" s="94"/>
      <c r="C47" s="85"/>
      <c r="D47" s="85"/>
      <c r="E47" s="246" t="s">
        <v>26</v>
      </c>
      <c r="F47" s="247"/>
      <c r="G47" s="247"/>
      <c r="H47" s="247"/>
      <c r="I47" s="247"/>
      <c r="J47" s="247"/>
      <c r="K47" s="248"/>
      <c r="L47" s="130">
        <f>SUM(L5:L46)</f>
        <v>0</v>
      </c>
    </row>
    <row r="48" spans="1:12" ht="15.75" thickTop="1" x14ac:dyDescent="0.25">
      <c r="A48" s="84"/>
      <c r="B48" s="96"/>
      <c r="C48" s="97"/>
      <c r="D48" s="98"/>
      <c r="E48" s="98"/>
      <c r="F48" s="98"/>
      <c r="G48" s="98"/>
      <c r="H48" s="98"/>
      <c r="I48" s="98"/>
      <c r="J48" s="98"/>
      <c r="K48" s="98"/>
      <c r="L48" s="99"/>
    </row>
    <row r="49" spans="1:12" x14ac:dyDescent="0.25">
      <c r="A49" s="84"/>
      <c r="B49" s="96"/>
      <c r="C49" s="97"/>
      <c r="D49" s="98"/>
      <c r="E49" s="98"/>
      <c r="F49" s="98"/>
      <c r="G49" s="98"/>
      <c r="H49" s="98"/>
      <c r="I49" s="98"/>
      <c r="J49" s="98"/>
      <c r="K49" s="98"/>
      <c r="L49" s="99"/>
    </row>
    <row r="50" spans="1:12" x14ac:dyDescent="0.25">
      <c r="A50" s="95"/>
      <c r="B50" s="96"/>
      <c r="C50" s="97"/>
      <c r="D50" s="98"/>
      <c r="E50" s="98"/>
      <c r="F50" s="98"/>
      <c r="G50" s="98"/>
      <c r="H50" s="98"/>
      <c r="I50" s="98"/>
      <c r="J50" s="98"/>
      <c r="K50" s="98"/>
      <c r="L50" s="99"/>
    </row>
    <row r="51" spans="1:12" x14ac:dyDescent="0.25">
      <c r="A51" s="95"/>
      <c r="B51" s="96"/>
      <c r="C51" s="97"/>
      <c r="D51" s="98"/>
      <c r="E51" s="98"/>
      <c r="F51" s="98"/>
      <c r="G51" s="98"/>
      <c r="H51" s="98"/>
      <c r="I51" s="98"/>
      <c r="J51" s="98"/>
      <c r="K51" s="98"/>
      <c r="L51" s="99"/>
    </row>
    <row r="52" spans="1:12" x14ac:dyDescent="0.25">
      <c r="A52" s="95"/>
      <c r="B52" s="96"/>
      <c r="C52" s="97"/>
      <c r="D52" s="98"/>
      <c r="E52" s="98"/>
      <c r="F52" s="98"/>
      <c r="G52" s="98"/>
      <c r="H52" s="98"/>
      <c r="I52" s="98"/>
      <c r="J52" s="98"/>
      <c r="K52" s="98"/>
      <c r="L52" s="99"/>
    </row>
    <row r="53" spans="1:12" x14ac:dyDescent="0.25">
      <c r="A53" s="95"/>
      <c r="B53" s="96"/>
      <c r="C53" s="97"/>
      <c r="D53" s="98"/>
      <c r="E53" s="98"/>
      <c r="F53" s="98"/>
      <c r="G53" s="98"/>
      <c r="H53" s="98"/>
      <c r="I53" s="98"/>
      <c r="J53" s="98"/>
      <c r="K53" s="98"/>
      <c r="L53" s="99"/>
    </row>
    <row r="54" spans="1:12" x14ac:dyDescent="0.25">
      <c r="A54" s="95"/>
      <c r="B54" s="96"/>
      <c r="C54" s="97"/>
      <c r="D54" s="98"/>
      <c r="E54" s="100" t="s">
        <v>27</v>
      </c>
      <c r="F54" s="101"/>
      <c r="G54" s="101"/>
      <c r="H54" s="101"/>
      <c r="I54" s="101"/>
      <c r="J54" s="98"/>
      <c r="K54" s="98"/>
      <c r="L54" s="99"/>
    </row>
    <row r="55" spans="1:12" x14ac:dyDescent="0.25">
      <c r="A55" s="95"/>
      <c r="B55" s="96"/>
      <c r="C55" s="97"/>
      <c r="D55" s="98"/>
      <c r="E55" s="98"/>
      <c r="F55" s="98"/>
      <c r="G55" s="98"/>
      <c r="H55" s="98"/>
      <c r="I55" s="98"/>
      <c r="J55" s="98"/>
      <c r="K55" s="98"/>
      <c r="L55" s="99"/>
    </row>
    <row r="56" spans="1:12" ht="15.75" thickBot="1" x14ac:dyDescent="0.3">
      <c r="A56" s="95"/>
      <c r="B56" s="96"/>
      <c r="C56" s="97"/>
      <c r="D56" s="98"/>
      <c r="E56" s="98"/>
      <c r="F56" s="98"/>
      <c r="G56" s="98"/>
      <c r="H56" s="98"/>
      <c r="I56" s="98"/>
      <c r="J56" s="98"/>
      <c r="K56" s="98"/>
      <c r="L56" s="99"/>
    </row>
    <row r="57" spans="1:12" ht="51" x14ac:dyDescent="0.25">
      <c r="A57" s="102" t="s">
        <v>1</v>
      </c>
      <c r="B57" s="37" t="s">
        <v>10</v>
      </c>
      <c r="C57" s="103" t="s">
        <v>11</v>
      </c>
      <c r="D57" s="103"/>
      <c r="E57" s="103" t="s">
        <v>28</v>
      </c>
      <c r="F57" s="104" t="s">
        <v>13</v>
      </c>
      <c r="G57" s="104" t="s">
        <v>14</v>
      </c>
      <c r="H57" s="103" t="s">
        <v>15</v>
      </c>
      <c r="I57" s="227" t="s">
        <v>16</v>
      </c>
      <c r="J57" s="229" t="s">
        <v>29</v>
      </c>
      <c r="K57" s="229" t="s">
        <v>29</v>
      </c>
      <c r="L57" s="41" t="s">
        <v>18</v>
      </c>
    </row>
    <row r="58" spans="1:12" x14ac:dyDescent="0.25">
      <c r="A58" s="105"/>
      <c r="B58" s="106"/>
      <c r="C58" s="107"/>
      <c r="D58" s="108" t="s">
        <v>19</v>
      </c>
      <c r="E58" s="107"/>
      <c r="F58" s="108"/>
      <c r="G58" s="108"/>
      <c r="H58" s="107"/>
      <c r="I58" s="228"/>
      <c r="J58" s="250"/>
      <c r="K58" s="230"/>
      <c r="L58" s="109"/>
    </row>
    <row r="59" spans="1:12" x14ac:dyDescent="0.25">
      <c r="A59" s="74"/>
      <c r="B59" s="74"/>
      <c r="C59" s="74"/>
      <c r="D59" s="74"/>
      <c r="E59" s="74"/>
      <c r="F59" s="74" t="s">
        <v>30</v>
      </c>
      <c r="G59" s="74"/>
      <c r="H59" s="74"/>
      <c r="I59" s="74"/>
      <c r="J59" s="74"/>
      <c r="K59" s="74"/>
      <c r="L59" s="184"/>
    </row>
    <row r="60" spans="1:12" x14ac:dyDescent="0.25">
      <c r="A60" s="110">
        <v>1</v>
      </c>
      <c r="B60" s="83"/>
      <c r="C60" s="80"/>
      <c r="D60" s="80"/>
      <c r="E60" s="74"/>
      <c r="F60" s="74" t="s">
        <v>30</v>
      </c>
      <c r="G60" s="74"/>
      <c r="H60" s="74"/>
      <c r="I60" s="77"/>
      <c r="K60" s="74"/>
      <c r="L60" s="111"/>
    </row>
    <row r="61" spans="1:12" x14ac:dyDescent="0.25">
      <c r="A61" s="110">
        <v>2</v>
      </c>
      <c r="B61" s="74"/>
      <c r="C61" s="80"/>
      <c r="D61" s="80"/>
      <c r="F61" s="74" t="s">
        <v>30</v>
      </c>
      <c r="G61" s="74"/>
      <c r="H61" s="74"/>
      <c r="I61" s="189"/>
      <c r="J61" s="134"/>
      <c r="L61" s="111"/>
    </row>
    <row r="62" spans="1:12" x14ac:dyDescent="0.25">
      <c r="A62" s="110">
        <v>3</v>
      </c>
      <c r="C62" s="80"/>
      <c r="D62" s="80"/>
      <c r="E62" s="74"/>
      <c r="F62" s="74" t="s">
        <v>30</v>
      </c>
      <c r="G62" s="74"/>
      <c r="H62" s="74"/>
      <c r="I62" s="140"/>
      <c r="J62" s="77"/>
      <c r="K62" s="74"/>
      <c r="L62" s="111"/>
    </row>
    <row r="63" spans="1:12" x14ac:dyDescent="0.25">
      <c r="A63" s="110">
        <v>4</v>
      </c>
      <c r="B63" s="83"/>
      <c r="C63" s="80"/>
      <c r="D63" s="80"/>
      <c r="E63" s="74"/>
      <c r="F63" s="74" t="s">
        <v>30</v>
      </c>
      <c r="G63" s="74"/>
      <c r="H63" s="74"/>
      <c r="I63" s="140"/>
      <c r="J63" s="77"/>
      <c r="K63" s="74"/>
      <c r="L63" s="132"/>
    </row>
    <row r="64" spans="1:12" x14ac:dyDescent="0.25">
      <c r="A64" s="110">
        <v>5</v>
      </c>
      <c r="B64" s="83"/>
      <c r="C64" s="80"/>
      <c r="D64" s="80"/>
      <c r="E64" s="74"/>
      <c r="F64" s="74" t="s">
        <v>30</v>
      </c>
      <c r="G64" s="74"/>
      <c r="H64" s="74"/>
      <c r="I64" s="140"/>
      <c r="J64" s="77"/>
      <c r="K64" s="74"/>
      <c r="L64" s="111"/>
    </row>
    <row r="65" spans="1:12" x14ac:dyDescent="0.25">
      <c r="A65" s="110">
        <v>6</v>
      </c>
      <c r="B65" s="83"/>
      <c r="C65" s="80"/>
      <c r="D65" s="80"/>
      <c r="E65" s="74"/>
      <c r="F65" s="74" t="s">
        <v>30</v>
      </c>
      <c r="G65" s="74"/>
      <c r="H65" s="74"/>
      <c r="I65" s="140"/>
      <c r="J65" s="77"/>
      <c r="K65" s="74"/>
      <c r="L65" s="111"/>
    </row>
    <row r="66" spans="1:12" x14ac:dyDescent="0.25">
      <c r="A66" s="167">
        <v>7</v>
      </c>
      <c r="B66" s="83"/>
      <c r="C66" s="80"/>
      <c r="D66" s="80"/>
      <c r="E66" s="74"/>
      <c r="F66" s="74" t="s">
        <v>30</v>
      </c>
      <c r="G66" s="74"/>
      <c r="H66" s="74"/>
      <c r="I66" s="140"/>
      <c r="J66" s="77"/>
      <c r="K66" s="74"/>
      <c r="L66" s="111"/>
    </row>
    <row r="67" spans="1:12" x14ac:dyDescent="0.25">
      <c r="A67" s="167">
        <v>8</v>
      </c>
      <c r="B67" s="83"/>
      <c r="C67" s="80"/>
      <c r="D67" s="80"/>
      <c r="E67" s="74"/>
      <c r="F67" s="74" t="s">
        <v>30</v>
      </c>
      <c r="G67" s="74"/>
      <c r="H67" s="74"/>
      <c r="I67" s="140"/>
      <c r="J67" s="77"/>
      <c r="K67" s="74"/>
      <c r="L67" s="111"/>
    </row>
    <row r="68" spans="1:12" x14ac:dyDescent="0.25">
      <c r="A68" s="167">
        <v>9</v>
      </c>
      <c r="B68" s="85"/>
      <c r="C68" s="86"/>
      <c r="D68" s="80"/>
      <c r="E68" s="74"/>
      <c r="F68" s="74" t="s">
        <v>30</v>
      </c>
      <c r="G68" s="74"/>
      <c r="H68" s="74"/>
      <c r="I68" s="140"/>
      <c r="J68" s="87"/>
      <c r="K68" s="85"/>
      <c r="L68" s="87"/>
    </row>
    <row r="69" spans="1:12" x14ac:dyDescent="0.25">
      <c r="A69" s="167">
        <v>10</v>
      </c>
      <c r="B69" s="74"/>
      <c r="C69" s="80"/>
      <c r="D69" s="80"/>
      <c r="E69" s="74"/>
      <c r="F69" s="74" t="s">
        <v>30</v>
      </c>
      <c r="G69" s="74"/>
      <c r="H69" s="74"/>
      <c r="I69" s="140"/>
      <c r="J69" s="77"/>
      <c r="K69" s="74"/>
      <c r="L69" s="111"/>
    </row>
    <row r="70" spans="1:12" x14ac:dyDescent="0.25">
      <c r="A70" s="167">
        <v>11</v>
      </c>
      <c r="B70" s="74"/>
      <c r="C70" s="80"/>
      <c r="D70" s="80"/>
      <c r="E70" s="74"/>
      <c r="F70" s="74" t="s">
        <v>30</v>
      </c>
      <c r="G70" s="74"/>
      <c r="H70" s="74"/>
      <c r="I70" s="140"/>
      <c r="J70" s="77"/>
      <c r="K70" s="74"/>
      <c r="L70" s="111"/>
    </row>
    <row r="71" spans="1:12" x14ac:dyDescent="0.25">
      <c r="A71" s="167">
        <v>12</v>
      </c>
      <c r="B71" s="74"/>
      <c r="C71" s="80"/>
      <c r="D71" s="80"/>
      <c r="F71" s="74" t="s">
        <v>30</v>
      </c>
      <c r="G71" s="74"/>
      <c r="H71" s="74"/>
      <c r="I71" s="140"/>
      <c r="J71" s="77"/>
      <c r="K71" s="74"/>
      <c r="L71" s="111"/>
    </row>
    <row r="72" spans="1:12" x14ac:dyDescent="0.25">
      <c r="A72" s="167">
        <v>13</v>
      </c>
      <c r="B72" s="74"/>
      <c r="C72" s="80"/>
      <c r="D72" s="80"/>
      <c r="E72" s="74"/>
      <c r="F72" s="74" t="s">
        <v>30</v>
      </c>
      <c r="G72" s="74"/>
      <c r="H72" s="74"/>
      <c r="I72" s="140"/>
      <c r="J72" s="77"/>
      <c r="K72" s="74"/>
      <c r="L72" s="111"/>
    </row>
    <row r="73" spans="1:12" x14ac:dyDescent="0.25">
      <c r="A73" s="167">
        <v>14</v>
      </c>
      <c r="B73" s="74"/>
      <c r="C73" s="80"/>
      <c r="D73" s="80"/>
      <c r="E73" s="74"/>
      <c r="F73" s="74" t="s">
        <v>30</v>
      </c>
      <c r="G73" s="74"/>
      <c r="H73" s="74"/>
      <c r="I73" s="140"/>
      <c r="J73" s="77"/>
      <c r="K73" s="74"/>
      <c r="L73" s="111"/>
    </row>
    <row r="74" spans="1:12" x14ac:dyDescent="0.25">
      <c r="A74" s="167">
        <v>15</v>
      </c>
      <c r="B74" s="74"/>
      <c r="C74" s="80"/>
      <c r="D74" s="80"/>
      <c r="E74" s="74"/>
      <c r="F74" s="74" t="s">
        <v>30</v>
      </c>
      <c r="G74" s="74"/>
      <c r="H74" s="74"/>
      <c r="I74" s="140"/>
      <c r="J74" s="77"/>
      <c r="K74" s="74"/>
      <c r="L74" s="111"/>
    </row>
    <row r="75" spans="1:12" x14ac:dyDescent="0.25">
      <c r="A75" s="167">
        <v>16</v>
      </c>
      <c r="B75" s="74"/>
      <c r="C75" s="80"/>
      <c r="D75" s="80"/>
      <c r="E75" s="74"/>
      <c r="F75" s="74" t="s">
        <v>30</v>
      </c>
      <c r="G75" s="74"/>
      <c r="H75" s="74"/>
      <c r="I75" s="140"/>
      <c r="J75" s="77"/>
      <c r="K75" s="74"/>
      <c r="L75" s="111"/>
    </row>
    <row r="76" spans="1:12" x14ac:dyDescent="0.25">
      <c r="A76" s="167">
        <v>17</v>
      </c>
      <c r="B76" s="74"/>
      <c r="C76" s="80"/>
      <c r="D76" s="80"/>
      <c r="E76" s="74"/>
      <c r="F76" s="74" t="s">
        <v>30</v>
      </c>
      <c r="G76" s="74"/>
      <c r="H76" s="74"/>
      <c r="I76" s="140"/>
      <c r="J76" s="77"/>
      <c r="K76" s="74"/>
      <c r="L76" s="111"/>
    </row>
    <row r="77" spans="1:12" x14ac:dyDescent="0.25">
      <c r="A77" s="167">
        <v>18</v>
      </c>
      <c r="B77" s="133"/>
      <c r="C77" s="80"/>
      <c r="D77" s="80"/>
      <c r="E77" s="74"/>
      <c r="F77" s="74" t="s">
        <v>30</v>
      </c>
      <c r="G77" s="74"/>
      <c r="H77" s="74"/>
      <c r="I77" s="140"/>
      <c r="J77" s="77"/>
      <c r="K77" s="74"/>
      <c r="L77" s="111"/>
    </row>
    <row r="78" spans="1:12" x14ac:dyDescent="0.25">
      <c r="A78" s="167">
        <v>19</v>
      </c>
      <c r="B78" s="74"/>
      <c r="C78" s="80"/>
      <c r="D78" s="80"/>
      <c r="E78" s="74"/>
      <c r="F78" s="74" t="s">
        <v>30</v>
      </c>
      <c r="G78" s="74"/>
      <c r="H78" s="74"/>
      <c r="I78" s="140"/>
      <c r="J78" s="77"/>
      <c r="K78" s="74"/>
      <c r="L78" s="111"/>
    </row>
    <row r="79" spans="1:12" x14ac:dyDescent="0.25">
      <c r="A79" s="167">
        <v>20</v>
      </c>
      <c r="B79" s="74"/>
      <c r="C79" s="80"/>
      <c r="D79" s="80"/>
      <c r="E79" s="74"/>
      <c r="F79" s="74" t="s">
        <v>30</v>
      </c>
      <c r="G79" s="74"/>
      <c r="H79" s="74"/>
      <c r="I79" s="140"/>
      <c r="J79" s="134"/>
      <c r="K79" s="74"/>
      <c r="L79" s="111"/>
    </row>
    <row r="80" spans="1:12" x14ac:dyDescent="0.25">
      <c r="A80" s="167">
        <v>21</v>
      </c>
      <c r="B80" s="74"/>
      <c r="C80" s="80"/>
      <c r="D80" s="80"/>
      <c r="E80" s="74"/>
      <c r="F80" s="74" t="s">
        <v>30</v>
      </c>
      <c r="G80" s="74"/>
      <c r="H80" s="74"/>
      <c r="I80" s="74"/>
      <c r="J80" s="134"/>
      <c r="K80" s="74"/>
      <c r="L80" s="111"/>
    </row>
    <row r="81" spans="1:12" x14ac:dyDescent="0.25">
      <c r="A81" s="167">
        <v>22</v>
      </c>
      <c r="B81" s="74"/>
      <c r="C81" s="80"/>
      <c r="D81" s="80"/>
      <c r="E81" s="74"/>
      <c r="F81" s="74" t="s">
        <v>30</v>
      </c>
      <c r="G81" s="74"/>
      <c r="H81" s="74"/>
      <c r="I81" s="74"/>
      <c r="J81" s="134"/>
      <c r="K81" s="74"/>
      <c r="L81" s="111"/>
    </row>
    <row r="82" spans="1:12" x14ac:dyDescent="0.25">
      <c r="A82" s="167">
        <v>23</v>
      </c>
      <c r="B82" s="74"/>
      <c r="C82" s="80"/>
      <c r="D82" s="80"/>
      <c r="E82" s="74"/>
      <c r="F82" s="74" t="s">
        <v>30</v>
      </c>
      <c r="G82" s="74"/>
      <c r="H82" s="74"/>
      <c r="I82" s="74"/>
      <c r="J82" s="134"/>
      <c r="K82" s="74"/>
      <c r="L82" s="111"/>
    </row>
    <row r="83" spans="1:12" x14ac:dyDescent="0.25">
      <c r="A83" s="167">
        <v>24</v>
      </c>
      <c r="B83" s="74"/>
      <c r="C83" s="80"/>
      <c r="D83" s="80"/>
      <c r="E83" s="74"/>
      <c r="F83" s="74" t="s">
        <v>30</v>
      </c>
      <c r="G83" s="74"/>
      <c r="H83" s="74"/>
      <c r="I83" s="74"/>
      <c r="J83" s="134"/>
      <c r="K83" s="74"/>
      <c r="L83" s="111"/>
    </row>
    <row r="84" spans="1:12" x14ac:dyDescent="0.25">
      <c r="A84" s="167">
        <v>25</v>
      </c>
      <c r="B84" s="74"/>
      <c r="C84" s="80"/>
      <c r="D84" s="80"/>
      <c r="E84" s="74"/>
      <c r="F84" s="74" t="s">
        <v>30</v>
      </c>
      <c r="G84" s="74"/>
      <c r="H84" s="74"/>
      <c r="I84" s="74"/>
      <c r="J84" s="134"/>
      <c r="K84" s="74"/>
      <c r="L84" s="111"/>
    </row>
    <row r="85" spans="1:12" x14ac:dyDescent="0.25">
      <c r="A85" s="167">
        <v>26</v>
      </c>
      <c r="B85" s="112"/>
      <c r="C85" s="113"/>
      <c r="D85" s="112"/>
      <c r="E85" s="112"/>
      <c r="F85" s="74" t="s">
        <v>30</v>
      </c>
      <c r="G85" s="135"/>
      <c r="H85" s="85"/>
      <c r="I85" s="85"/>
      <c r="J85" s="136"/>
      <c r="K85" s="85"/>
      <c r="L85" s="114"/>
    </row>
    <row r="86" spans="1:12" x14ac:dyDescent="0.25">
      <c r="A86" s="231" t="s">
        <v>37</v>
      </c>
      <c r="B86" s="231"/>
      <c r="C86" s="231"/>
      <c r="D86" s="231"/>
      <c r="E86" s="231"/>
      <c r="F86" s="117"/>
      <c r="G86" s="117"/>
      <c r="H86" s="117"/>
      <c r="I86" s="117"/>
      <c r="J86" s="118"/>
      <c r="K86" s="119"/>
      <c r="L86" s="120">
        <f>SUM(L59:L85)</f>
        <v>0</v>
      </c>
    </row>
    <row r="87" spans="1:12" x14ac:dyDescent="0.25">
      <c r="A87" s="72"/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187"/>
    </row>
    <row r="88" spans="1:12" x14ac:dyDescent="0.25">
      <c r="A88" s="72"/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</row>
    <row r="89" spans="1:12" x14ac:dyDescent="0.25">
      <c r="A89" s="72"/>
      <c r="B89" s="72"/>
      <c r="C89" s="72"/>
      <c r="D89" s="72"/>
      <c r="E89" s="72"/>
      <c r="F89" s="72"/>
      <c r="G89" s="72"/>
      <c r="H89" s="72"/>
      <c r="I89" s="72"/>
      <c r="J89" s="72"/>
      <c r="K89" s="72"/>
      <c r="L89" s="72"/>
    </row>
    <row r="90" spans="1:12" x14ac:dyDescent="0.25">
      <c r="A90" s="72"/>
      <c r="B90" s="72"/>
      <c r="C90" s="72"/>
      <c r="D90" s="72"/>
      <c r="E90" s="72"/>
      <c r="F90" s="72"/>
      <c r="G90" s="72"/>
      <c r="H90" s="72"/>
      <c r="I90" s="72"/>
      <c r="J90" s="72"/>
      <c r="K90" s="72"/>
      <c r="L90" s="72"/>
    </row>
    <row r="91" spans="1:12" ht="15.75" thickBot="1" x14ac:dyDescent="0.3">
      <c r="A91" s="72"/>
      <c r="B91" s="72"/>
      <c r="C91" s="72"/>
      <c r="D91" s="72"/>
      <c r="E91" s="72"/>
      <c r="F91" s="72"/>
      <c r="G91" s="72"/>
      <c r="H91" s="72"/>
      <c r="I91" s="72"/>
      <c r="J91" s="72"/>
      <c r="K91" s="72"/>
      <c r="L91" s="72"/>
    </row>
    <row r="92" spans="1:12" ht="16.5" thickTop="1" thickBot="1" x14ac:dyDescent="0.3">
      <c r="A92" s="72"/>
      <c r="B92" s="72"/>
      <c r="C92" s="72"/>
      <c r="D92" s="72"/>
      <c r="E92" s="121" t="s">
        <v>38</v>
      </c>
      <c r="F92" s="121"/>
      <c r="G92" s="121"/>
      <c r="H92" s="122"/>
      <c r="I92" s="122"/>
      <c r="J92" s="122"/>
      <c r="K92" s="122"/>
      <c r="L92" s="123">
        <f>L86</f>
        <v>0</v>
      </c>
    </row>
    <row r="93" spans="1:12" ht="16.5" thickTop="1" thickBot="1" x14ac:dyDescent="0.3">
      <c r="A93" s="72"/>
      <c r="B93" s="72"/>
      <c r="C93" s="72"/>
      <c r="D93" s="72"/>
      <c r="E93" s="33"/>
      <c r="F93" s="33"/>
      <c r="G93" s="33"/>
      <c r="H93" s="72"/>
      <c r="I93" s="72"/>
      <c r="J93" s="72"/>
      <c r="K93" s="72"/>
      <c r="L93" s="72"/>
    </row>
    <row r="94" spans="1:12" ht="16.5" thickTop="1" thickBot="1" x14ac:dyDescent="0.3">
      <c r="A94" s="72"/>
      <c r="B94" s="72"/>
      <c r="C94" s="72"/>
      <c r="D94" s="72"/>
      <c r="E94" s="121" t="s">
        <v>40</v>
      </c>
      <c r="F94" s="121"/>
      <c r="G94" s="121"/>
      <c r="H94" s="122"/>
      <c r="I94" s="122"/>
      <c r="J94" s="122"/>
      <c r="K94" s="122"/>
      <c r="L94" s="124">
        <f>L47-L92</f>
        <v>0</v>
      </c>
    </row>
    <row r="95" spans="1:12" ht="15.75" thickTop="1" x14ac:dyDescent="0.25"/>
  </sheetData>
  <mergeCells count="10">
    <mergeCell ref="I57:I58"/>
    <mergeCell ref="J57:J58"/>
    <mergeCell ref="K57:K58"/>
    <mergeCell ref="A86:E86"/>
    <mergeCell ref="E4:K4"/>
    <mergeCell ref="E5:K5"/>
    <mergeCell ref="E6:K6"/>
    <mergeCell ref="E7:K7"/>
    <mergeCell ref="E46:K46"/>
    <mergeCell ref="E47:K4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4:AB89"/>
  <sheetViews>
    <sheetView topLeftCell="A16" workbookViewId="0">
      <selection activeCell="AB9" sqref="AB9"/>
    </sheetView>
  </sheetViews>
  <sheetFormatPr defaultColWidth="43" defaultRowHeight="15" x14ac:dyDescent="0.25"/>
  <cols>
    <col min="3" max="3" width="3" bestFit="1" customWidth="1"/>
    <col min="4" max="4" width="7" bestFit="1" customWidth="1"/>
    <col min="5" max="5" width="8.42578125" bestFit="1" customWidth="1"/>
    <col min="6" max="6" width="22.7109375" bestFit="1" customWidth="1"/>
    <col min="7" max="7" width="19" customWidth="1"/>
    <col min="8" max="8" width="10.5703125" customWidth="1"/>
    <col min="9" max="9" width="15.42578125" customWidth="1"/>
    <col min="10" max="10" width="8" bestFit="1" customWidth="1"/>
    <col min="11" max="11" width="9.5703125" bestFit="1" customWidth="1"/>
    <col min="12" max="12" width="18.140625" bestFit="1" customWidth="1"/>
    <col min="13" max="13" width="22" bestFit="1" customWidth="1"/>
    <col min="14" max="14" width="15.42578125" customWidth="1"/>
    <col min="15" max="15" width="15" customWidth="1"/>
    <col min="16" max="16" width="14.5703125" customWidth="1"/>
    <col min="17" max="17" width="7.85546875" customWidth="1"/>
    <col min="18" max="18" width="9" customWidth="1"/>
    <col min="19" max="28" width="14.7109375" customWidth="1"/>
  </cols>
  <sheetData>
    <row r="4" spans="3:28" ht="23.25" x14ac:dyDescent="0.35">
      <c r="C4" s="48"/>
      <c r="G4" s="32" t="s">
        <v>8</v>
      </c>
      <c r="H4" s="31"/>
      <c r="I4" s="31"/>
    </row>
    <row r="5" spans="3:28" ht="15.75" thickBot="1" x14ac:dyDescent="0.3">
      <c r="C5" s="33">
        <v>2</v>
      </c>
      <c r="D5" s="33"/>
      <c r="E5" s="33"/>
      <c r="F5" s="33"/>
      <c r="G5" s="33"/>
      <c r="H5" s="33"/>
      <c r="I5" s="33"/>
      <c r="J5" s="33"/>
      <c r="K5" s="34"/>
      <c r="L5" s="34"/>
      <c r="M5" s="33"/>
      <c r="N5" s="33"/>
      <c r="O5" s="33"/>
      <c r="P5" s="33"/>
    </row>
    <row r="6" spans="3:28" ht="51" x14ac:dyDescent="0.25">
      <c r="C6" s="198">
        <v>3</v>
      </c>
      <c r="D6" s="37" t="s">
        <v>10</v>
      </c>
      <c r="E6" s="37" t="s">
        <v>11</v>
      </c>
      <c r="F6" s="37"/>
      <c r="G6" s="221" t="s">
        <v>12</v>
      </c>
      <c r="H6" s="38" t="s">
        <v>13</v>
      </c>
      <c r="I6" s="39" t="s">
        <v>14</v>
      </c>
      <c r="J6" s="37" t="s">
        <v>15</v>
      </c>
      <c r="K6" s="40" t="s">
        <v>16</v>
      </c>
      <c r="L6" s="41" t="s">
        <v>17</v>
      </c>
      <c r="M6" s="41" t="s">
        <v>18</v>
      </c>
      <c r="N6" s="201"/>
      <c r="O6" s="201"/>
      <c r="P6" s="201"/>
      <c r="R6" s="198">
        <v>3</v>
      </c>
      <c r="S6" s="37" t="s">
        <v>10</v>
      </c>
      <c r="T6" s="37" t="s">
        <v>11</v>
      </c>
      <c r="U6" s="37"/>
      <c r="V6" s="221" t="s">
        <v>12</v>
      </c>
      <c r="W6" s="38" t="s">
        <v>13</v>
      </c>
      <c r="X6" s="39" t="s">
        <v>14</v>
      </c>
      <c r="Y6" s="37" t="s">
        <v>15</v>
      </c>
      <c r="Z6" s="40" t="s">
        <v>16</v>
      </c>
      <c r="AA6" s="41" t="s">
        <v>17</v>
      </c>
      <c r="AB6" s="41" t="s">
        <v>18</v>
      </c>
    </row>
    <row r="7" spans="3:28" ht="15.75" thickBot="1" x14ac:dyDescent="0.3">
      <c r="C7" s="199">
        <v>4</v>
      </c>
      <c r="D7" s="43"/>
      <c r="E7" s="43"/>
      <c r="F7" s="44" t="s">
        <v>19</v>
      </c>
      <c r="G7" s="222"/>
      <c r="H7" s="44"/>
      <c r="I7" s="45"/>
      <c r="J7" s="43"/>
      <c r="K7" s="46"/>
      <c r="L7" s="47"/>
      <c r="M7" s="47"/>
      <c r="N7" s="201"/>
      <c r="O7" s="201"/>
      <c r="P7" s="201"/>
      <c r="R7" s="199">
        <v>4</v>
      </c>
      <c r="S7" s="43"/>
      <c r="T7" s="43"/>
      <c r="U7" s="44" t="s">
        <v>19</v>
      </c>
      <c r="V7" s="222"/>
      <c r="W7" s="44"/>
      <c r="X7" s="45"/>
      <c r="Y7" s="43"/>
      <c r="Z7" s="46"/>
      <c r="AA7" s="47"/>
      <c r="AB7" s="47"/>
    </row>
    <row r="8" spans="3:28" x14ac:dyDescent="0.25">
      <c r="C8" s="48">
        <v>5</v>
      </c>
      <c r="D8" s="49">
        <v>789278</v>
      </c>
      <c r="E8" s="50">
        <v>45481</v>
      </c>
      <c r="F8" s="49" t="s">
        <v>44</v>
      </c>
      <c r="G8" s="49" t="s">
        <v>45</v>
      </c>
      <c r="H8" s="51" t="s">
        <v>43</v>
      </c>
      <c r="I8" s="52" t="s">
        <v>46</v>
      </c>
      <c r="J8" s="53" t="s">
        <v>33</v>
      </c>
      <c r="K8" s="158">
        <v>46483</v>
      </c>
      <c r="L8" s="54">
        <v>71.616699999999994</v>
      </c>
      <c r="M8" s="55">
        <f t="shared" ref="M8:M88" si="0">K8*L8</f>
        <v>3328959.0660999999</v>
      </c>
      <c r="N8" s="202"/>
      <c r="O8" s="202"/>
      <c r="P8" s="202"/>
      <c r="R8">
        <v>1</v>
      </c>
      <c r="S8">
        <v>839955</v>
      </c>
      <c r="T8" s="75">
        <v>45620</v>
      </c>
      <c r="U8" t="s">
        <v>285</v>
      </c>
      <c r="V8" t="s">
        <v>187</v>
      </c>
      <c r="W8" t="s">
        <v>43</v>
      </c>
      <c r="X8" t="s">
        <v>135</v>
      </c>
      <c r="Y8" t="s">
        <v>165</v>
      </c>
      <c r="Z8">
        <v>48516</v>
      </c>
      <c r="AA8">
        <v>93.563199999999995</v>
      </c>
      <c r="AB8">
        <f>Z8*AA8</f>
        <v>4539312.2111999998</v>
      </c>
    </row>
    <row r="9" spans="3:28" x14ac:dyDescent="0.25">
      <c r="C9" s="199">
        <v>6</v>
      </c>
      <c r="D9" s="49">
        <v>790007</v>
      </c>
      <c r="E9" s="50">
        <v>45482</v>
      </c>
      <c r="F9" s="49" t="s">
        <v>35</v>
      </c>
      <c r="G9" s="49" t="s">
        <v>36</v>
      </c>
      <c r="H9" s="51" t="s">
        <v>43</v>
      </c>
      <c r="I9" s="52" t="s">
        <v>47</v>
      </c>
      <c r="J9" s="53" t="s">
        <v>33</v>
      </c>
      <c r="K9" s="158">
        <v>47580</v>
      </c>
      <c r="L9" s="54">
        <v>71.616699999999994</v>
      </c>
      <c r="M9" s="55">
        <f t="shared" si="0"/>
        <v>3407522.5859999997</v>
      </c>
      <c r="N9" s="202"/>
      <c r="O9" s="202"/>
      <c r="P9" s="202"/>
    </row>
    <row r="10" spans="3:28" x14ac:dyDescent="0.25">
      <c r="C10" s="48">
        <v>7</v>
      </c>
      <c r="D10" s="49">
        <v>790976</v>
      </c>
      <c r="E10" s="50">
        <v>45485</v>
      </c>
      <c r="F10" s="49" t="s">
        <v>48</v>
      </c>
      <c r="G10" s="49" t="s">
        <v>49</v>
      </c>
      <c r="H10" s="51" t="s">
        <v>43</v>
      </c>
      <c r="I10" s="52" t="s">
        <v>50</v>
      </c>
      <c r="J10" s="53" t="s">
        <v>32</v>
      </c>
      <c r="K10" s="158">
        <v>45977</v>
      </c>
      <c r="L10" s="54">
        <v>76.544700000000006</v>
      </c>
      <c r="M10" s="55">
        <f>K10*L10</f>
        <v>3519295.6719000004</v>
      </c>
      <c r="N10" s="202"/>
      <c r="O10" s="202"/>
      <c r="P10" s="202"/>
    </row>
    <row r="11" spans="3:28" x14ac:dyDescent="0.25">
      <c r="C11" s="199">
        <v>8</v>
      </c>
      <c r="D11" s="49">
        <v>791486</v>
      </c>
      <c r="E11" s="50">
        <v>45486</v>
      </c>
      <c r="F11" s="49" t="s">
        <v>51</v>
      </c>
      <c r="G11" s="49" t="s">
        <v>52</v>
      </c>
      <c r="H11" s="51" t="s">
        <v>43</v>
      </c>
      <c r="I11" s="52" t="s">
        <v>24</v>
      </c>
      <c r="J11" s="53" t="s">
        <v>32</v>
      </c>
      <c r="K11" s="158">
        <v>46047</v>
      </c>
      <c r="L11" s="54"/>
      <c r="M11" s="55">
        <f t="shared" si="0"/>
        <v>0</v>
      </c>
      <c r="N11" s="202"/>
      <c r="O11" s="202"/>
      <c r="P11" s="202"/>
    </row>
    <row r="12" spans="3:28" x14ac:dyDescent="0.25">
      <c r="C12" s="48">
        <v>9</v>
      </c>
      <c r="D12" s="49">
        <v>791850</v>
      </c>
      <c r="E12" s="50">
        <v>45486</v>
      </c>
      <c r="F12" s="49" t="s">
        <v>53</v>
      </c>
      <c r="G12" s="49" t="s">
        <v>54</v>
      </c>
      <c r="H12" s="51" t="s">
        <v>43</v>
      </c>
      <c r="I12" s="52" t="s">
        <v>24</v>
      </c>
      <c r="J12" s="53" t="s">
        <v>32</v>
      </c>
      <c r="K12" s="158">
        <v>45918</v>
      </c>
      <c r="L12" s="54"/>
      <c r="M12" s="55">
        <f t="shared" si="0"/>
        <v>0</v>
      </c>
      <c r="N12" s="202"/>
      <c r="O12" s="202"/>
      <c r="P12" s="202"/>
    </row>
    <row r="13" spans="3:28" x14ac:dyDescent="0.25">
      <c r="C13" s="199">
        <v>10</v>
      </c>
      <c r="D13" s="49">
        <v>791485</v>
      </c>
      <c r="E13" s="50">
        <v>45487</v>
      </c>
      <c r="F13" s="49" t="s">
        <v>73</v>
      </c>
      <c r="G13" s="49" t="s">
        <v>55</v>
      </c>
      <c r="H13" s="51" t="s">
        <v>43</v>
      </c>
      <c r="I13" s="52" t="s">
        <v>24</v>
      </c>
      <c r="J13" s="53" t="s">
        <v>32</v>
      </c>
      <c r="K13" s="158">
        <v>46792</v>
      </c>
      <c r="L13" s="54"/>
      <c r="M13" s="57">
        <f t="shared" si="0"/>
        <v>0</v>
      </c>
      <c r="N13" s="202"/>
      <c r="O13" s="202"/>
      <c r="P13" s="202"/>
    </row>
    <row r="14" spans="3:28" x14ac:dyDescent="0.25">
      <c r="C14" s="48">
        <v>11</v>
      </c>
      <c r="D14" s="49">
        <v>786564</v>
      </c>
      <c r="E14" s="50">
        <v>45487</v>
      </c>
      <c r="F14" s="49" t="s">
        <v>34</v>
      </c>
      <c r="G14" s="33" t="s">
        <v>67</v>
      </c>
      <c r="H14" s="51" t="s">
        <v>43</v>
      </c>
      <c r="I14" s="52" t="s">
        <v>56</v>
      </c>
      <c r="J14" s="53" t="s">
        <v>57</v>
      </c>
      <c r="K14" s="158">
        <v>45946</v>
      </c>
      <c r="L14" s="54">
        <v>57.747300000000003</v>
      </c>
      <c r="M14" s="57">
        <f>K14*L14</f>
        <v>2653257.4458000003</v>
      </c>
      <c r="N14" s="202"/>
      <c r="O14" s="202"/>
      <c r="P14" s="202"/>
    </row>
    <row r="15" spans="3:28" x14ac:dyDescent="0.25">
      <c r="C15" s="199">
        <v>12</v>
      </c>
      <c r="D15" s="49">
        <v>790976</v>
      </c>
      <c r="E15" s="50">
        <v>45493</v>
      </c>
      <c r="F15" s="49" t="s">
        <v>71</v>
      </c>
      <c r="G15" s="49" t="s">
        <v>72</v>
      </c>
      <c r="H15" s="51" t="s">
        <v>43</v>
      </c>
      <c r="I15" s="52" t="s">
        <v>74</v>
      </c>
      <c r="J15" s="53" t="s">
        <v>33</v>
      </c>
      <c r="K15" s="159">
        <v>45667</v>
      </c>
      <c r="L15" s="54">
        <v>75.407700000000006</v>
      </c>
      <c r="M15" s="57">
        <f t="shared" si="0"/>
        <v>3443643.4359000004</v>
      </c>
      <c r="N15" s="202"/>
      <c r="O15" s="202"/>
      <c r="P15" s="202"/>
    </row>
    <row r="16" spans="3:28" x14ac:dyDescent="0.25">
      <c r="C16" s="48">
        <v>13</v>
      </c>
      <c r="D16" s="49">
        <v>793663</v>
      </c>
      <c r="E16" s="50">
        <v>45493</v>
      </c>
      <c r="F16" s="49" t="s">
        <v>75</v>
      </c>
      <c r="G16" s="49" t="s">
        <v>76</v>
      </c>
      <c r="H16" s="51" t="s">
        <v>43</v>
      </c>
      <c r="I16" s="56" t="s">
        <v>77</v>
      </c>
      <c r="J16" s="53" t="s">
        <v>32</v>
      </c>
      <c r="K16" s="158">
        <v>50550</v>
      </c>
      <c r="L16" s="54">
        <v>76.544700000000006</v>
      </c>
      <c r="M16" s="57">
        <f t="shared" si="0"/>
        <v>3869334.5850000004</v>
      </c>
      <c r="N16" s="202"/>
      <c r="O16" s="202"/>
      <c r="P16" s="202"/>
    </row>
    <row r="17" spans="3:16" x14ac:dyDescent="0.25">
      <c r="C17" s="199">
        <v>14</v>
      </c>
      <c r="D17" s="49">
        <v>796212</v>
      </c>
      <c r="E17" s="50">
        <v>45498</v>
      </c>
      <c r="F17" s="49" t="s">
        <v>73</v>
      </c>
      <c r="G17" s="49" t="s">
        <v>55</v>
      </c>
      <c r="H17" s="51" t="s">
        <v>43</v>
      </c>
      <c r="I17" s="52" t="s">
        <v>47</v>
      </c>
      <c r="J17" s="53" t="s">
        <v>32</v>
      </c>
      <c r="K17" s="158">
        <v>46811</v>
      </c>
      <c r="L17" s="54">
        <v>76.544700000000006</v>
      </c>
      <c r="M17" s="57">
        <f t="shared" si="0"/>
        <v>3583133.9517000001</v>
      </c>
      <c r="N17" s="202"/>
      <c r="O17" s="202"/>
      <c r="P17" s="202"/>
    </row>
    <row r="18" spans="3:16" x14ac:dyDescent="0.25">
      <c r="C18" s="48">
        <v>15</v>
      </c>
      <c r="D18" s="49">
        <v>796916</v>
      </c>
      <c r="E18" s="50">
        <v>45501</v>
      </c>
      <c r="F18" s="49" t="s">
        <v>92</v>
      </c>
      <c r="G18" s="49" t="s">
        <v>93</v>
      </c>
      <c r="H18" s="51" t="s">
        <v>43</v>
      </c>
      <c r="I18" s="52" t="s">
        <v>56</v>
      </c>
      <c r="J18" s="53" t="s">
        <v>57</v>
      </c>
      <c r="K18" s="158">
        <v>45961</v>
      </c>
      <c r="L18" s="54">
        <v>57.747300000000003</v>
      </c>
      <c r="M18" s="57">
        <f t="shared" si="0"/>
        <v>2654123.6553000002</v>
      </c>
      <c r="N18" s="202"/>
      <c r="O18" s="202"/>
      <c r="P18" s="202"/>
    </row>
    <row r="19" spans="3:16" x14ac:dyDescent="0.25">
      <c r="C19" s="199">
        <v>16</v>
      </c>
      <c r="D19" s="49">
        <v>797320</v>
      </c>
      <c r="E19" s="50">
        <v>45501</v>
      </c>
      <c r="F19" s="49" t="s">
        <v>44</v>
      </c>
      <c r="G19" s="49" t="s">
        <v>45</v>
      </c>
      <c r="H19" s="51" t="s">
        <v>43</v>
      </c>
      <c r="I19" s="56" t="s">
        <v>96</v>
      </c>
      <c r="J19" s="53" t="s">
        <v>32</v>
      </c>
      <c r="K19" s="158">
        <v>46860</v>
      </c>
      <c r="L19" s="54">
        <v>76.544700000000006</v>
      </c>
      <c r="M19" s="57">
        <f t="shared" si="0"/>
        <v>3586884.6420000005</v>
      </c>
      <c r="N19" s="202"/>
      <c r="O19" s="202"/>
      <c r="P19" s="202"/>
    </row>
    <row r="20" spans="3:16" x14ac:dyDescent="0.25">
      <c r="C20" s="48">
        <v>17</v>
      </c>
      <c r="D20" s="49">
        <v>797987</v>
      </c>
      <c r="E20" s="50">
        <v>45503</v>
      </c>
      <c r="F20" s="49" t="s">
        <v>48</v>
      </c>
      <c r="G20" s="49" t="s">
        <v>49</v>
      </c>
      <c r="H20" s="51" t="s">
        <v>43</v>
      </c>
      <c r="I20" s="56" t="s">
        <v>98</v>
      </c>
      <c r="J20" s="53" t="s">
        <v>32</v>
      </c>
      <c r="K20" s="158">
        <v>45963</v>
      </c>
      <c r="L20" s="54">
        <v>76.544700000000006</v>
      </c>
      <c r="M20" s="57">
        <f t="shared" si="0"/>
        <v>3518224.0461000004</v>
      </c>
      <c r="N20" s="202"/>
      <c r="O20" s="202"/>
      <c r="P20" s="202"/>
    </row>
    <row r="21" spans="3:16" x14ac:dyDescent="0.25">
      <c r="C21" s="199">
        <v>18</v>
      </c>
      <c r="D21" s="49">
        <v>798914</v>
      </c>
      <c r="E21" s="50">
        <v>45504</v>
      </c>
      <c r="F21" s="49" t="s">
        <v>101</v>
      </c>
      <c r="G21" s="49" t="s">
        <v>102</v>
      </c>
      <c r="H21" s="51" t="s">
        <v>43</v>
      </c>
      <c r="I21" s="56" t="s">
        <v>77</v>
      </c>
      <c r="J21" s="53" t="s">
        <v>33</v>
      </c>
      <c r="K21" s="158">
        <v>45726</v>
      </c>
      <c r="L21" s="54">
        <v>75.407700000000006</v>
      </c>
      <c r="M21" s="57">
        <f t="shared" si="0"/>
        <v>3448092.4902000003</v>
      </c>
      <c r="N21" s="202"/>
      <c r="O21" s="202"/>
      <c r="P21" s="202"/>
    </row>
    <row r="22" spans="3:16" x14ac:dyDescent="0.25">
      <c r="C22" s="48">
        <v>19</v>
      </c>
      <c r="D22" s="49">
        <v>797574</v>
      </c>
      <c r="E22" s="50">
        <v>45507</v>
      </c>
      <c r="F22" s="49" t="s">
        <v>35</v>
      </c>
      <c r="G22" s="49" t="s">
        <v>36</v>
      </c>
      <c r="H22" s="51" t="s">
        <v>43</v>
      </c>
      <c r="I22" s="56" t="s">
        <v>111</v>
      </c>
      <c r="J22" s="53" t="s">
        <v>57</v>
      </c>
      <c r="K22" s="158">
        <v>48094</v>
      </c>
      <c r="L22" s="54">
        <v>57.747300000000003</v>
      </c>
      <c r="M22" s="57">
        <f t="shared" si="0"/>
        <v>2777298.6462000003</v>
      </c>
      <c r="N22" s="202"/>
      <c r="O22" s="202"/>
      <c r="P22" s="202"/>
    </row>
    <row r="23" spans="3:16" x14ac:dyDescent="0.25">
      <c r="C23" s="199">
        <v>20</v>
      </c>
      <c r="D23" s="49">
        <v>799506</v>
      </c>
      <c r="E23" s="50">
        <v>45510</v>
      </c>
      <c r="F23" s="49" t="s">
        <v>114</v>
      </c>
      <c r="G23" s="49" t="s">
        <v>52</v>
      </c>
      <c r="H23" s="51" t="s">
        <v>43</v>
      </c>
      <c r="I23" s="52" t="s">
        <v>47</v>
      </c>
      <c r="J23" s="53" t="s">
        <v>33</v>
      </c>
      <c r="K23" s="158">
        <v>45780</v>
      </c>
      <c r="L23" s="54">
        <v>75.407700000000006</v>
      </c>
      <c r="M23" s="57">
        <f t="shared" si="0"/>
        <v>3452164.5060000001</v>
      </c>
      <c r="N23" s="202"/>
      <c r="O23" s="202"/>
      <c r="P23" s="202"/>
    </row>
    <row r="24" spans="3:16" x14ac:dyDescent="0.25">
      <c r="C24" s="48">
        <v>21</v>
      </c>
      <c r="D24" s="49">
        <v>801261</v>
      </c>
      <c r="E24" s="50">
        <v>45512</v>
      </c>
      <c r="F24" s="49" t="s">
        <v>71</v>
      </c>
      <c r="G24" s="49" t="s">
        <v>72</v>
      </c>
      <c r="H24" s="51" t="s">
        <v>43</v>
      </c>
      <c r="I24" s="52" t="s">
        <v>56</v>
      </c>
      <c r="J24" s="53" t="s">
        <v>57</v>
      </c>
      <c r="K24" s="158">
        <v>45771</v>
      </c>
      <c r="L24" s="54">
        <v>57.747300000000003</v>
      </c>
      <c r="M24" s="57">
        <f t="shared" si="0"/>
        <v>2643151.6683</v>
      </c>
      <c r="N24" s="202"/>
      <c r="O24" s="202"/>
      <c r="P24" s="202"/>
    </row>
    <row r="25" spans="3:16" x14ac:dyDescent="0.25">
      <c r="C25" s="199">
        <v>22</v>
      </c>
      <c r="D25" s="49">
        <v>802080</v>
      </c>
      <c r="E25" s="50">
        <v>45516</v>
      </c>
      <c r="F25" s="49" t="s">
        <v>125</v>
      </c>
      <c r="G25" s="49" t="s">
        <v>67</v>
      </c>
      <c r="H25" s="51" t="s">
        <v>43</v>
      </c>
      <c r="I25" s="52" t="s">
        <v>46</v>
      </c>
      <c r="J25" s="53" t="s">
        <v>33</v>
      </c>
      <c r="K25" s="158">
        <v>45688</v>
      </c>
      <c r="L25" s="54">
        <v>75.407700000000006</v>
      </c>
      <c r="M25" s="57">
        <f t="shared" si="0"/>
        <v>3445226.9976000004</v>
      </c>
      <c r="N25" s="202"/>
      <c r="O25" s="202"/>
      <c r="P25" s="202"/>
    </row>
    <row r="26" spans="3:16" x14ac:dyDescent="0.25">
      <c r="C26" s="48">
        <v>23</v>
      </c>
      <c r="D26" s="49">
        <v>802099</v>
      </c>
      <c r="E26" s="50">
        <v>45517</v>
      </c>
      <c r="F26" s="49" t="s">
        <v>131</v>
      </c>
      <c r="G26" s="49" t="s">
        <v>132</v>
      </c>
      <c r="H26" s="51" t="s">
        <v>43</v>
      </c>
      <c r="I26" s="52" t="s">
        <v>74</v>
      </c>
      <c r="J26" s="53" t="s">
        <v>32</v>
      </c>
      <c r="K26" s="158">
        <v>46632</v>
      </c>
      <c r="L26" s="54">
        <v>76.544700000000006</v>
      </c>
      <c r="M26" s="57">
        <f t="shared" si="0"/>
        <v>3569432.4504000004</v>
      </c>
      <c r="N26" s="202"/>
      <c r="O26" s="202"/>
      <c r="P26" s="202"/>
    </row>
    <row r="27" spans="3:16" x14ac:dyDescent="0.25">
      <c r="C27" s="199">
        <v>24</v>
      </c>
      <c r="D27" s="49">
        <v>803064</v>
      </c>
      <c r="E27" s="50">
        <v>45519</v>
      </c>
      <c r="F27" s="49" t="s">
        <v>73</v>
      </c>
      <c r="G27" s="49" t="s">
        <v>55</v>
      </c>
      <c r="H27" s="51" t="s">
        <v>43</v>
      </c>
      <c r="I27" s="56" t="s">
        <v>77</v>
      </c>
      <c r="J27" s="53" t="s">
        <v>32</v>
      </c>
      <c r="K27" s="158">
        <v>46860</v>
      </c>
      <c r="L27" s="54">
        <v>76.544700000000006</v>
      </c>
      <c r="M27" s="57">
        <f t="shared" si="0"/>
        <v>3586884.6420000005</v>
      </c>
      <c r="N27" s="202"/>
      <c r="O27" s="202"/>
      <c r="P27" s="202"/>
    </row>
    <row r="28" spans="3:16" x14ac:dyDescent="0.25">
      <c r="C28" s="48">
        <v>25</v>
      </c>
      <c r="D28" s="49">
        <v>803539</v>
      </c>
      <c r="E28" s="50">
        <v>45519</v>
      </c>
      <c r="F28" s="49" t="s">
        <v>75</v>
      </c>
      <c r="G28" s="49" t="s">
        <v>76</v>
      </c>
      <c r="H28" s="51" t="s">
        <v>43</v>
      </c>
      <c r="I28" s="52" t="s">
        <v>47</v>
      </c>
      <c r="J28" s="53" t="s">
        <v>32</v>
      </c>
      <c r="K28" s="158">
        <v>50662</v>
      </c>
      <c r="L28" s="54">
        <v>76.544700000000006</v>
      </c>
      <c r="M28" s="57">
        <f t="shared" si="0"/>
        <v>3877907.5914000003</v>
      </c>
      <c r="N28" s="202"/>
      <c r="O28" s="202"/>
      <c r="P28" s="202"/>
    </row>
    <row r="29" spans="3:16" x14ac:dyDescent="0.25">
      <c r="C29" s="199">
        <v>26</v>
      </c>
      <c r="D29" s="49">
        <v>805662</v>
      </c>
      <c r="E29" s="50">
        <v>45525</v>
      </c>
      <c r="F29" s="49" t="s">
        <v>146</v>
      </c>
      <c r="G29" s="49" t="s">
        <v>147</v>
      </c>
      <c r="H29" s="51" t="s">
        <v>43</v>
      </c>
      <c r="I29" s="56" t="s">
        <v>77</v>
      </c>
      <c r="J29" s="53" t="s">
        <v>32</v>
      </c>
      <c r="K29" s="158">
        <v>45948</v>
      </c>
      <c r="L29" s="54">
        <v>76.544700000000006</v>
      </c>
      <c r="M29" s="57">
        <f t="shared" si="0"/>
        <v>3517075.8756000004</v>
      </c>
      <c r="N29" s="202"/>
      <c r="O29" s="202"/>
      <c r="P29" s="202"/>
    </row>
    <row r="30" spans="3:16" x14ac:dyDescent="0.25">
      <c r="C30" s="48">
        <v>27</v>
      </c>
      <c r="D30" s="49">
        <v>806442</v>
      </c>
      <c r="E30" s="50">
        <v>45526</v>
      </c>
      <c r="F30" s="49" t="s">
        <v>150</v>
      </c>
      <c r="G30" s="49" t="s">
        <v>151</v>
      </c>
      <c r="H30" s="51" t="s">
        <v>43</v>
      </c>
      <c r="I30" s="56" t="s">
        <v>152</v>
      </c>
      <c r="J30" s="53" t="s">
        <v>32</v>
      </c>
      <c r="K30" s="158">
        <v>47253</v>
      </c>
      <c r="L30" s="54"/>
      <c r="M30" s="57">
        <f t="shared" si="0"/>
        <v>0</v>
      </c>
      <c r="N30" s="202"/>
      <c r="O30" s="202"/>
      <c r="P30" s="202"/>
    </row>
    <row r="31" spans="3:16" x14ac:dyDescent="0.25">
      <c r="C31" s="199">
        <v>28</v>
      </c>
      <c r="D31" s="49">
        <v>806904</v>
      </c>
      <c r="E31" s="50">
        <v>45527</v>
      </c>
      <c r="F31" s="49" t="s">
        <v>44</v>
      </c>
      <c r="G31" s="49" t="s">
        <v>45</v>
      </c>
      <c r="H31" s="51" t="s">
        <v>43</v>
      </c>
      <c r="I31" s="56" t="s">
        <v>152</v>
      </c>
      <c r="J31" s="53" t="s">
        <v>32</v>
      </c>
      <c r="K31" s="158">
        <v>46854</v>
      </c>
      <c r="L31" s="54"/>
      <c r="M31" s="57">
        <f t="shared" si="0"/>
        <v>0</v>
      </c>
      <c r="N31" s="202"/>
      <c r="O31" s="202"/>
      <c r="P31" s="202"/>
    </row>
    <row r="32" spans="3:16" x14ac:dyDescent="0.25">
      <c r="C32" s="48">
        <v>29</v>
      </c>
      <c r="D32" s="49">
        <v>807109</v>
      </c>
      <c r="E32" s="50">
        <v>45528</v>
      </c>
      <c r="F32" s="49" t="s">
        <v>125</v>
      </c>
      <c r="G32" s="49" t="s">
        <v>67</v>
      </c>
      <c r="H32" s="51" t="s">
        <v>43</v>
      </c>
      <c r="I32" s="52" t="s">
        <v>46</v>
      </c>
      <c r="J32" s="53" t="s">
        <v>32</v>
      </c>
      <c r="K32" s="158">
        <v>45927</v>
      </c>
      <c r="L32" s="54">
        <v>76.544700000000006</v>
      </c>
      <c r="M32" s="57">
        <f t="shared" si="0"/>
        <v>3515468.4369000001</v>
      </c>
      <c r="N32" s="202"/>
      <c r="O32" s="202"/>
      <c r="P32" s="202"/>
    </row>
    <row r="33" spans="3:16" x14ac:dyDescent="0.25">
      <c r="C33" s="199">
        <v>30</v>
      </c>
      <c r="D33" s="49">
        <v>805665</v>
      </c>
      <c r="E33" s="50">
        <v>45531</v>
      </c>
      <c r="F33" s="49" t="s">
        <v>92</v>
      </c>
      <c r="G33" s="49" t="s">
        <v>93</v>
      </c>
      <c r="H33" s="51" t="s">
        <v>43</v>
      </c>
      <c r="I33" s="52" t="s">
        <v>74</v>
      </c>
      <c r="J33" s="53" t="s">
        <v>33</v>
      </c>
      <c r="K33" s="158">
        <v>45833</v>
      </c>
      <c r="L33" s="54">
        <v>75.407700000000006</v>
      </c>
      <c r="M33" s="57">
        <f t="shared" si="0"/>
        <v>3456161.1141000004</v>
      </c>
      <c r="N33" s="202"/>
      <c r="O33" s="202"/>
      <c r="P33" s="202"/>
    </row>
    <row r="34" spans="3:16" x14ac:dyDescent="0.25">
      <c r="C34" s="48">
        <v>31</v>
      </c>
      <c r="D34" s="49">
        <v>809553</v>
      </c>
      <c r="E34" s="50">
        <v>45535</v>
      </c>
      <c r="F34" s="49" t="s">
        <v>160</v>
      </c>
      <c r="G34" s="49" t="s">
        <v>102</v>
      </c>
      <c r="H34" s="51" t="s">
        <v>43</v>
      </c>
      <c r="I34" s="56" t="s">
        <v>161</v>
      </c>
      <c r="J34" s="53" t="s">
        <v>33</v>
      </c>
      <c r="K34" s="158">
        <v>45892</v>
      </c>
      <c r="L34" s="54">
        <v>75.407700000000006</v>
      </c>
      <c r="M34" s="57">
        <f t="shared" si="0"/>
        <v>3460610.1684000003</v>
      </c>
      <c r="N34" s="202"/>
      <c r="O34" s="202"/>
      <c r="P34" s="202"/>
    </row>
    <row r="35" spans="3:16" x14ac:dyDescent="0.25">
      <c r="C35" s="199">
        <v>32</v>
      </c>
      <c r="D35" s="49">
        <v>809183</v>
      </c>
      <c r="E35" s="50">
        <v>45535</v>
      </c>
      <c r="F35" s="49" t="s">
        <v>71</v>
      </c>
      <c r="G35" s="49" t="s">
        <v>72</v>
      </c>
      <c r="H35" s="51" t="s">
        <v>43</v>
      </c>
      <c r="I35" s="56" t="s">
        <v>162</v>
      </c>
      <c r="J35" s="53" t="s">
        <v>163</v>
      </c>
      <c r="K35" s="158">
        <v>46344</v>
      </c>
      <c r="L35" s="54">
        <v>58.989400000000003</v>
      </c>
      <c r="M35" s="57">
        <f t="shared" si="0"/>
        <v>2733804.7535999999</v>
      </c>
      <c r="N35" s="202"/>
      <c r="O35" s="202"/>
      <c r="P35" s="202"/>
    </row>
    <row r="36" spans="3:16" x14ac:dyDescent="0.25">
      <c r="C36" s="48">
        <v>33</v>
      </c>
      <c r="D36" s="49">
        <v>772808</v>
      </c>
      <c r="E36" s="50">
        <v>45538</v>
      </c>
      <c r="F36" s="49" t="s">
        <v>186</v>
      </c>
      <c r="G36" s="49" t="s">
        <v>187</v>
      </c>
      <c r="H36" s="51" t="s">
        <v>43</v>
      </c>
      <c r="I36" s="56" t="s">
        <v>152</v>
      </c>
      <c r="J36" s="53" t="s">
        <v>32</v>
      </c>
      <c r="K36" s="158">
        <v>48078</v>
      </c>
      <c r="L36" s="54"/>
      <c r="M36" s="57">
        <f t="shared" si="0"/>
        <v>0</v>
      </c>
      <c r="N36" s="202"/>
      <c r="O36" s="202"/>
      <c r="P36" s="202"/>
    </row>
    <row r="37" spans="3:16" x14ac:dyDescent="0.25">
      <c r="C37" s="199">
        <v>34</v>
      </c>
      <c r="D37" s="49">
        <v>810608</v>
      </c>
      <c r="E37" s="50">
        <v>45539</v>
      </c>
      <c r="F37" s="49" t="s">
        <v>114</v>
      </c>
      <c r="G37" s="49" t="s">
        <v>52</v>
      </c>
      <c r="H37" s="51" t="s">
        <v>43</v>
      </c>
      <c r="I37" s="52" t="s">
        <v>47</v>
      </c>
      <c r="J37" s="53" t="s">
        <v>32</v>
      </c>
      <c r="K37" s="158">
        <v>46058</v>
      </c>
      <c r="L37" s="54">
        <v>76.544700000000006</v>
      </c>
      <c r="M37" s="57">
        <f t="shared" si="0"/>
        <v>3525495.7926000003</v>
      </c>
      <c r="N37" s="202"/>
      <c r="O37" s="202"/>
      <c r="P37" s="202"/>
    </row>
    <row r="38" spans="3:16" x14ac:dyDescent="0.25">
      <c r="C38" s="48">
        <v>35</v>
      </c>
      <c r="D38" s="49">
        <v>811070</v>
      </c>
      <c r="E38" s="50">
        <v>45543</v>
      </c>
      <c r="F38" s="49" t="s">
        <v>188</v>
      </c>
      <c r="G38" s="49" t="s">
        <v>189</v>
      </c>
      <c r="H38" s="51" t="s">
        <v>43</v>
      </c>
      <c r="I38" s="56" t="s">
        <v>77</v>
      </c>
      <c r="J38" s="53" t="s">
        <v>33</v>
      </c>
      <c r="K38" s="158">
        <v>45431</v>
      </c>
      <c r="L38" s="54">
        <v>75.407700000000006</v>
      </c>
      <c r="M38" s="57">
        <f t="shared" si="0"/>
        <v>3425847.2187000001</v>
      </c>
      <c r="N38" s="202"/>
      <c r="O38" s="202"/>
      <c r="P38" s="202"/>
    </row>
    <row r="39" spans="3:16" x14ac:dyDescent="0.25">
      <c r="C39" s="199">
        <v>36</v>
      </c>
      <c r="D39" s="181">
        <v>812527</v>
      </c>
      <c r="E39" s="50">
        <v>45544</v>
      </c>
      <c r="F39" s="49" t="s">
        <v>73</v>
      </c>
      <c r="G39" s="49" t="s">
        <v>55</v>
      </c>
      <c r="H39" s="51" t="s">
        <v>43</v>
      </c>
      <c r="I39" s="56" t="s">
        <v>190</v>
      </c>
      <c r="J39" s="53" t="s">
        <v>32</v>
      </c>
      <c r="K39" s="158">
        <v>46869</v>
      </c>
      <c r="L39" s="54"/>
      <c r="M39" s="57">
        <f t="shared" si="0"/>
        <v>0</v>
      </c>
      <c r="N39" s="202"/>
      <c r="O39" s="202"/>
      <c r="P39" s="202"/>
    </row>
    <row r="40" spans="3:16" x14ac:dyDescent="0.25">
      <c r="C40" s="48">
        <v>37</v>
      </c>
      <c r="D40" s="49">
        <v>812742</v>
      </c>
      <c r="E40" s="50">
        <v>45544</v>
      </c>
      <c r="F40" s="49" t="s">
        <v>150</v>
      </c>
      <c r="G40" s="49" t="s">
        <v>151</v>
      </c>
      <c r="H40" s="51" t="s">
        <v>43</v>
      </c>
      <c r="I40" s="56" t="s">
        <v>190</v>
      </c>
      <c r="J40" s="53" t="s">
        <v>32</v>
      </c>
      <c r="K40" s="158">
        <v>47287</v>
      </c>
      <c r="L40" s="54"/>
      <c r="M40" s="55">
        <f t="shared" si="0"/>
        <v>0</v>
      </c>
      <c r="N40" s="202"/>
      <c r="O40" s="202"/>
      <c r="P40" s="202"/>
    </row>
    <row r="41" spans="3:16" x14ac:dyDescent="0.25">
      <c r="C41" s="199">
        <v>38</v>
      </c>
      <c r="D41" s="49">
        <v>812861</v>
      </c>
      <c r="E41" s="50">
        <v>45544</v>
      </c>
      <c r="F41" s="49" t="s">
        <v>44</v>
      </c>
      <c r="G41" s="49" t="s">
        <v>45</v>
      </c>
      <c r="H41" s="51" t="s">
        <v>43</v>
      </c>
      <c r="I41" s="56" t="s">
        <v>190</v>
      </c>
      <c r="J41" s="53" t="s">
        <v>32</v>
      </c>
      <c r="K41" s="158">
        <v>46858</v>
      </c>
      <c r="L41" s="54"/>
      <c r="M41" s="55">
        <f t="shared" si="0"/>
        <v>0</v>
      </c>
      <c r="N41" s="202"/>
      <c r="O41" s="202"/>
      <c r="P41" s="202"/>
    </row>
    <row r="42" spans="3:16" x14ac:dyDescent="0.25">
      <c r="C42" s="48">
        <v>39</v>
      </c>
      <c r="D42" s="49">
        <v>813257</v>
      </c>
      <c r="E42" s="50">
        <v>45546</v>
      </c>
      <c r="F42" s="49" t="s">
        <v>131</v>
      </c>
      <c r="G42" s="49" t="s">
        <v>132</v>
      </c>
      <c r="H42" s="51" t="s">
        <v>43</v>
      </c>
      <c r="I42" s="52" t="s">
        <v>74</v>
      </c>
      <c r="J42" s="53" t="s">
        <v>32</v>
      </c>
      <c r="K42" s="158">
        <v>46608</v>
      </c>
      <c r="L42" s="54">
        <v>76.544700000000006</v>
      </c>
      <c r="M42" s="55">
        <f t="shared" si="0"/>
        <v>3567595.3776000002</v>
      </c>
      <c r="N42" s="202"/>
      <c r="O42" s="202"/>
      <c r="P42" s="202"/>
    </row>
    <row r="43" spans="3:16" x14ac:dyDescent="0.25">
      <c r="C43" s="199">
        <v>40</v>
      </c>
      <c r="D43" s="49">
        <v>811543</v>
      </c>
      <c r="E43" s="50">
        <v>45548</v>
      </c>
      <c r="F43" s="49" t="s">
        <v>125</v>
      </c>
      <c r="G43" s="49" t="s">
        <v>67</v>
      </c>
      <c r="H43" s="51" t="s">
        <v>43</v>
      </c>
      <c r="I43" s="52" t="s">
        <v>46</v>
      </c>
      <c r="J43" s="53" t="s">
        <v>33</v>
      </c>
      <c r="K43" s="158">
        <v>45598</v>
      </c>
      <c r="L43" s="54">
        <v>75.407700000000006</v>
      </c>
      <c r="M43" s="55">
        <f t="shared" si="0"/>
        <v>3438440.3046000004</v>
      </c>
      <c r="N43" s="202"/>
      <c r="O43" s="202"/>
      <c r="P43" s="202"/>
    </row>
    <row r="44" spans="3:16" x14ac:dyDescent="0.25">
      <c r="C44" s="48">
        <v>41</v>
      </c>
      <c r="D44" s="49">
        <v>814019</v>
      </c>
      <c r="E44" s="50">
        <v>45549</v>
      </c>
      <c r="F44" s="49" t="s">
        <v>48</v>
      </c>
      <c r="G44" s="49" t="s">
        <v>49</v>
      </c>
      <c r="H44" s="51" t="s">
        <v>43</v>
      </c>
      <c r="I44" s="56" t="s">
        <v>98</v>
      </c>
      <c r="J44" s="53" t="s">
        <v>32</v>
      </c>
      <c r="K44" s="158">
        <v>46001</v>
      </c>
      <c r="L44" s="54">
        <v>76.544700000000006</v>
      </c>
      <c r="M44" s="55">
        <f t="shared" si="0"/>
        <v>3521132.7447000002</v>
      </c>
      <c r="N44" s="202"/>
      <c r="O44" s="202"/>
      <c r="P44" s="202"/>
    </row>
    <row r="45" spans="3:16" x14ac:dyDescent="0.25">
      <c r="C45" s="199">
        <v>42</v>
      </c>
      <c r="D45" s="49">
        <v>816619</v>
      </c>
      <c r="E45" s="50">
        <v>45555</v>
      </c>
      <c r="F45" s="49" t="s">
        <v>146</v>
      </c>
      <c r="G45" s="49" t="s">
        <v>147</v>
      </c>
      <c r="H45" s="51" t="s">
        <v>43</v>
      </c>
      <c r="I45" s="52" t="s">
        <v>56</v>
      </c>
      <c r="J45" s="53" t="s">
        <v>57</v>
      </c>
      <c r="K45" s="158">
        <v>46036</v>
      </c>
      <c r="L45" s="54">
        <v>57.747300000000003</v>
      </c>
      <c r="M45" s="55">
        <f t="shared" si="0"/>
        <v>2658454.7028000001</v>
      </c>
      <c r="N45" s="202"/>
      <c r="O45" s="202"/>
      <c r="P45" s="202"/>
    </row>
    <row r="46" spans="3:16" x14ac:dyDescent="0.25">
      <c r="C46" s="48">
        <v>43</v>
      </c>
      <c r="D46" s="49">
        <v>818517</v>
      </c>
      <c r="E46" s="50">
        <v>45560</v>
      </c>
      <c r="F46" s="49" t="s">
        <v>160</v>
      </c>
      <c r="G46" s="49" t="s">
        <v>102</v>
      </c>
      <c r="H46" s="51" t="s">
        <v>43</v>
      </c>
      <c r="I46" s="52" t="s">
        <v>47</v>
      </c>
      <c r="J46" s="53" t="s">
        <v>33</v>
      </c>
      <c r="K46" s="158">
        <v>45957</v>
      </c>
      <c r="L46" s="54">
        <v>75.407700000000006</v>
      </c>
      <c r="M46" s="55">
        <f t="shared" si="0"/>
        <v>3465511.6689000004</v>
      </c>
      <c r="N46" s="202"/>
      <c r="O46" s="202"/>
      <c r="P46" s="202"/>
    </row>
    <row r="47" spans="3:16" x14ac:dyDescent="0.25">
      <c r="C47" s="199">
        <v>44</v>
      </c>
      <c r="D47" s="49">
        <v>818476</v>
      </c>
      <c r="E47" s="50">
        <v>45562</v>
      </c>
      <c r="F47" s="49" t="s">
        <v>114</v>
      </c>
      <c r="G47" s="49" t="s">
        <v>52</v>
      </c>
      <c r="H47" s="51" t="s">
        <v>43</v>
      </c>
      <c r="I47" s="56" t="s">
        <v>77</v>
      </c>
      <c r="J47" s="53" t="s">
        <v>32</v>
      </c>
      <c r="K47" s="158">
        <v>46063</v>
      </c>
      <c r="L47" s="54">
        <v>76.544700000000006</v>
      </c>
      <c r="M47" s="55">
        <f t="shared" si="0"/>
        <v>3525878.5161000001</v>
      </c>
      <c r="N47" s="202"/>
      <c r="O47" s="202"/>
      <c r="P47" s="202"/>
    </row>
    <row r="48" spans="3:16" x14ac:dyDescent="0.25">
      <c r="C48" s="48">
        <v>45</v>
      </c>
      <c r="D48" s="49">
        <v>819018</v>
      </c>
      <c r="E48" s="50">
        <v>45563</v>
      </c>
      <c r="F48" s="49" t="s">
        <v>125</v>
      </c>
      <c r="G48" s="49" t="s">
        <v>67</v>
      </c>
      <c r="H48" s="51" t="s">
        <v>43</v>
      </c>
      <c r="I48" s="52" t="s">
        <v>47</v>
      </c>
      <c r="J48" s="53" t="s">
        <v>32</v>
      </c>
      <c r="K48" s="158">
        <v>45918</v>
      </c>
      <c r="L48" s="54">
        <v>76.544700000000006</v>
      </c>
      <c r="M48" s="55">
        <f t="shared" si="0"/>
        <v>3514779.5346000004</v>
      </c>
      <c r="N48" s="202"/>
      <c r="O48" s="202"/>
      <c r="P48" s="202"/>
    </row>
    <row r="49" spans="3:16" x14ac:dyDescent="0.25">
      <c r="C49" s="199">
        <v>46</v>
      </c>
      <c r="D49" s="49">
        <v>820815</v>
      </c>
      <c r="E49" s="50">
        <v>45570</v>
      </c>
      <c r="F49" s="49" t="s">
        <v>35</v>
      </c>
      <c r="G49" s="49" t="s">
        <v>36</v>
      </c>
      <c r="H49" s="51" t="s">
        <v>43</v>
      </c>
      <c r="I49" s="56" t="s">
        <v>221</v>
      </c>
      <c r="J49" s="53" t="s">
        <v>32</v>
      </c>
      <c r="K49" s="158">
        <v>48110</v>
      </c>
      <c r="L49" s="54">
        <v>76.544700000000006</v>
      </c>
      <c r="M49" s="55">
        <f t="shared" si="0"/>
        <v>3682565.5170000005</v>
      </c>
      <c r="N49" s="202"/>
      <c r="O49" s="202"/>
      <c r="P49" s="202"/>
    </row>
    <row r="50" spans="3:16" x14ac:dyDescent="0.25">
      <c r="C50" s="48">
        <v>47</v>
      </c>
      <c r="D50" s="49">
        <v>820817</v>
      </c>
      <c r="E50" s="50">
        <v>45570</v>
      </c>
      <c r="F50" s="49" t="s">
        <v>48</v>
      </c>
      <c r="G50" s="49" t="s">
        <v>49</v>
      </c>
      <c r="H50" s="51" t="s">
        <v>43</v>
      </c>
      <c r="I50" s="56" t="s">
        <v>98</v>
      </c>
      <c r="J50" s="53" t="s">
        <v>32</v>
      </c>
      <c r="K50" s="158">
        <v>46065</v>
      </c>
      <c r="L50" s="54">
        <v>76.544700000000006</v>
      </c>
      <c r="M50" s="55">
        <f t="shared" si="0"/>
        <v>3526031.6055000001</v>
      </c>
      <c r="N50" s="202"/>
      <c r="O50" s="202"/>
      <c r="P50" s="202"/>
    </row>
    <row r="51" spans="3:16" x14ac:dyDescent="0.25">
      <c r="C51" s="199">
        <v>48</v>
      </c>
      <c r="D51" s="49">
        <v>821685</v>
      </c>
      <c r="E51" s="50">
        <v>45571</v>
      </c>
      <c r="F51" s="49" t="s">
        <v>146</v>
      </c>
      <c r="G51" s="49" t="s">
        <v>147</v>
      </c>
      <c r="H51" s="51" t="s">
        <v>43</v>
      </c>
      <c r="I51" s="52" t="s">
        <v>46</v>
      </c>
      <c r="J51" s="53" t="s">
        <v>32</v>
      </c>
      <c r="K51" s="158">
        <v>45905</v>
      </c>
      <c r="L51" s="54">
        <v>76.544700000000006</v>
      </c>
      <c r="M51" s="55">
        <f t="shared" si="0"/>
        <v>3513784.4535000003</v>
      </c>
      <c r="N51" s="202"/>
      <c r="O51" s="202"/>
      <c r="P51" s="202"/>
    </row>
    <row r="52" spans="3:16" x14ac:dyDescent="0.25">
      <c r="C52" s="48">
        <v>49</v>
      </c>
      <c r="D52" s="49">
        <v>821691</v>
      </c>
      <c r="E52" s="50">
        <v>45572</v>
      </c>
      <c r="F52" s="49" t="s">
        <v>186</v>
      </c>
      <c r="G52" s="49" t="s">
        <v>187</v>
      </c>
      <c r="H52" s="51" t="s">
        <v>43</v>
      </c>
      <c r="I52" s="56" t="s">
        <v>222</v>
      </c>
      <c r="J52" s="53" t="s">
        <v>165</v>
      </c>
      <c r="K52" s="158">
        <v>48448</v>
      </c>
      <c r="L52" s="54">
        <v>65.89</v>
      </c>
      <c r="M52" s="55">
        <f t="shared" si="0"/>
        <v>3192238.72</v>
      </c>
      <c r="N52" s="202"/>
      <c r="O52" s="202"/>
      <c r="P52" s="202"/>
    </row>
    <row r="53" spans="3:16" x14ac:dyDescent="0.25">
      <c r="C53" s="199">
        <v>50</v>
      </c>
      <c r="D53" s="49">
        <v>821257</v>
      </c>
      <c r="E53" s="50">
        <v>45574</v>
      </c>
      <c r="F53" s="49" t="s">
        <v>160</v>
      </c>
      <c r="G53" s="49" t="s">
        <v>102</v>
      </c>
      <c r="H53" s="51" t="s">
        <v>43</v>
      </c>
      <c r="I53" s="56" t="s">
        <v>77</v>
      </c>
      <c r="J53" s="53" t="s">
        <v>33</v>
      </c>
      <c r="K53" s="158">
        <v>45867</v>
      </c>
      <c r="L53" s="54">
        <v>83.813500000000005</v>
      </c>
      <c r="M53" s="55">
        <f t="shared" si="0"/>
        <v>3844273.8045000001</v>
      </c>
      <c r="N53" s="202"/>
      <c r="O53" s="202"/>
      <c r="P53" s="202"/>
    </row>
    <row r="54" spans="3:16" x14ac:dyDescent="0.25">
      <c r="C54" s="48">
        <v>51</v>
      </c>
      <c r="D54" s="49">
        <v>821689</v>
      </c>
      <c r="E54" s="50">
        <v>45576</v>
      </c>
      <c r="F54" s="49" t="s">
        <v>73</v>
      </c>
      <c r="G54" s="49" t="s">
        <v>55</v>
      </c>
      <c r="H54" s="51" t="s">
        <v>43</v>
      </c>
      <c r="I54" s="52" t="s">
        <v>74</v>
      </c>
      <c r="J54" s="53" t="s">
        <v>33</v>
      </c>
      <c r="K54" s="158">
        <v>46628</v>
      </c>
      <c r="L54" s="54">
        <v>83.813500000000005</v>
      </c>
      <c r="M54" s="55">
        <f t="shared" si="0"/>
        <v>3908055.878</v>
      </c>
      <c r="N54" s="202"/>
      <c r="O54" s="202"/>
      <c r="P54" s="202"/>
    </row>
    <row r="55" spans="3:16" x14ac:dyDescent="0.25">
      <c r="C55" s="199">
        <v>52</v>
      </c>
      <c r="D55" s="49">
        <v>823475</v>
      </c>
      <c r="E55" s="50">
        <v>45576</v>
      </c>
      <c r="F55" s="49" t="s">
        <v>71</v>
      </c>
      <c r="G55" s="49" t="s">
        <v>72</v>
      </c>
      <c r="H55" s="51" t="s">
        <v>43</v>
      </c>
      <c r="I55" s="52" t="s">
        <v>74</v>
      </c>
      <c r="J55" s="53" t="s">
        <v>32</v>
      </c>
      <c r="K55" s="158">
        <v>46048</v>
      </c>
      <c r="L55" s="54">
        <v>82.950599999999994</v>
      </c>
      <c r="M55" s="55">
        <f t="shared" si="0"/>
        <v>3819709.2287999997</v>
      </c>
      <c r="N55" s="202"/>
      <c r="O55" s="202"/>
      <c r="P55" s="202"/>
    </row>
    <row r="56" spans="3:16" x14ac:dyDescent="0.25">
      <c r="C56" s="48">
        <v>53</v>
      </c>
      <c r="D56" s="49">
        <v>822666</v>
      </c>
      <c r="E56" s="50">
        <v>45578</v>
      </c>
      <c r="F56" s="49" t="s">
        <v>188</v>
      </c>
      <c r="G56" s="49" t="s">
        <v>189</v>
      </c>
      <c r="H56" s="51" t="s">
        <v>43</v>
      </c>
      <c r="I56" s="52" t="s">
        <v>47</v>
      </c>
      <c r="J56" s="53" t="s">
        <v>33</v>
      </c>
      <c r="K56" s="158">
        <v>45657</v>
      </c>
      <c r="L56" s="54">
        <v>83.813500000000005</v>
      </c>
      <c r="M56" s="55">
        <f t="shared" si="0"/>
        <v>3826672.9695000001</v>
      </c>
      <c r="N56" s="202"/>
      <c r="O56" s="202"/>
      <c r="P56" s="202"/>
    </row>
    <row r="57" spans="3:16" x14ac:dyDescent="0.25">
      <c r="C57" s="199">
        <v>54</v>
      </c>
      <c r="D57" s="49">
        <v>823790</v>
      </c>
      <c r="E57" s="50">
        <v>45582</v>
      </c>
      <c r="F57" s="49" t="s">
        <v>44</v>
      </c>
      <c r="G57" s="49" t="s">
        <v>45</v>
      </c>
      <c r="H57" s="51" t="s">
        <v>43</v>
      </c>
      <c r="I57" s="52" t="s">
        <v>47</v>
      </c>
      <c r="J57" s="53" t="s">
        <v>32</v>
      </c>
      <c r="K57" s="158">
        <v>46935</v>
      </c>
      <c r="L57" s="54">
        <v>82.950599999999994</v>
      </c>
      <c r="M57" s="55">
        <f t="shared" si="0"/>
        <v>3893286.4109999998</v>
      </c>
      <c r="N57" s="202"/>
      <c r="O57" s="202"/>
      <c r="P57" s="202"/>
    </row>
    <row r="58" spans="3:16" x14ac:dyDescent="0.25">
      <c r="C58" s="48">
        <v>55</v>
      </c>
      <c r="D58" s="49">
        <v>826247</v>
      </c>
      <c r="E58" s="50">
        <v>45584</v>
      </c>
      <c r="F58" s="49" t="s">
        <v>234</v>
      </c>
      <c r="G58" s="49" t="s">
        <v>235</v>
      </c>
      <c r="H58" s="51" t="s">
        <v>43</v>
      </c>
      <c r="I58" s="56" t="s">
        <v>77</v>
      </c>
      <c r="J58" s="53" t="s">
        <v>32</v>
      </c>
      <c r="K58" s="158">
        <v>46155</v>
      </c>
      <c r="L58" s="54">
        <v>82.950599999999994</v>
      </c>
      <c r="M58" s="55">
        <f t="shared" si="0"/>
        <v>3828584.943</v>
      </c>
      <c r="N58" s="202"/>
      <c r="O58" s="202"/>
      <c r="P58" s="202"/>
    </row>
    <row r="59" spans="3:16" x14ac:dyDescent="0.25">
      <c r="C59" s="199">
        <v>56</v>
      </c>
      <c r="D59" s="49">
        <v>829003</v>
      </c>
      <c r="E59" s="50">
        <v>45590</v>
      </c>
      <c r="F59" s="49" t="s">
        <v>48</v>
      </c>
      <c r="G59" s="49" t="s">
        <v>49</v>
      </c>
      <c r="H59" s="51" t="s">
        <v>43</v>
      </c>
      <c r="I59" s="56" t="s">
        <v>222</v>
      </c>
      <c r="J59" s="53" t="s">
        <v>165</v>
      </c>
      <c r="K59" s="158">
        <v>46470</v>
      </c>
      <c r="L59" s="54">
        <v>93.563199999999995</v>
      </c>
      <c r="M59" s="55">
        <f t="shared" si="0"/>
        <v>4347881.9040000001</v>
      </c>
      <c r="N59" s="202"/>
      <c r="O59" s="202"/>
      <c r="P59" s="202"/>
    </row>
    <row r="60" spans="3:16" x14ac:dyDescent="0.25">
      <c r="C60" s="48">
        <v>57</v>
      </c>
      <c r="D60" s="49">
        <v>829279</v>
      </c>
      <c r="E60" s="50">
        <v>45590</v>
      </c>
      <c r="F60" s="49" t="s">
        <v>160</v>
      </c>
      <c r="G60" s="49" t="s">
        <v>102</v>
      </c>
      <c r="H60" s="51" t="s">
        <v>43</v>
      </c>
      <c r="I60" s="56" t="s">
        <v>190</v>
      </c>
      <c r="J60" s="53" t="s">
        <v>32</v>
      </c>
      <c r="K60" s="158">
        <v>46250</v>
      </c>
      <c r="L60" s="54"/>
      <c r="M60" s="55">
        <f t="shared" si="0"/>
        <v>0</v>
      </c>
      <c r="N60" s="202"/>
      <c r="O60" s="202"/>
      <c r="P60" s="202"/>
    </row>
    <row r="61" spans="3:16" x14ac:dyDescent="0.25">
      <c r="C61" s="199">
        <v>58</v>
      </c>
      <c r="D61" s="49">
        <v>829745</v>
      </c>
      <c r="E61" s="50">
        <v>45591</v>
      </c>
      <c r="F61" s="49" t="s">
        <v>125</v>
      </c>
      <c r="G61" s="49" t="s">
        <v>67</v>
      </c>
      <c r="H61" s="51" t="s">
        <v>43</v>
      </c>
      <c r="I61" s="52" t="s">
        <v>46</v>
      </c>
      <c r="J61" s="53" t="s">
        <v>32</v>
      </c>
      <c r="K61" s="158">
        <v>46082</v>
      </c>
      <c r="L61" s="54">
        <v>82.950599999999994</v>
      </c>
      <c r="M61" s="55">
        <f t="shared" si="0"/>
        <v>3822529.5491999998</v>
      </c>
      <c r="N61" s="202"/>
      <c r="O61" s="202"/>
      <c r="P61" s="202"/>
    </row>
    <row r="62" spans="3:16" x14ac:dyDescent="0.25">
      <c r="C62" s="48">
        <v>59</v>
      </c>
      <c r="D62" s="49">
        <v>827682</v>
      </c>
      <c r="E62" s="50">
        <v>45592</v>
      </c>
      <c r="F62" s="49" t="s">
        <v>146</v>
      </c>
      <c r="G62" s="49" t="s">
        <v>147</v>
      </c>
      <c r="H62" s="51" t="s">
        <v>43</v>
      </c>
      <c r="I62" s="56" t="s">
        <v>77</v>
      </c>
      <c r="J62" s="53" t="s">
        <v>33</v>
      </c>
      <c r="K62" s="158">
        <v>45862</v>
      </c>
      <c r="L62" s="54">
        <v>83.813500000000005</v>
      </c>
      <c r="M62" s="55">
        <f t="shared" si="0"/>
        <v>3843854.7370000002</v>
      </c>
      <c r="N62" s="202"/>
      <c r="O62" s="202"/>
      <c r="P62" s="202"/>
    </row>
    <row r="63" spans="3:16" x14ac:dyDescent="0.25">
      <c r="C63" s="199">
        <v>60</v>
      </c>
      <c r="D63" s="49">
        <v>827679</v>
      </c>
      <c r="E63" s="50">
        <v>45593</v>
      </c>
      <c r="F63" s="49" t="s">
        <v>75</v>
      </c>
      <c r="G63" s="49" t="s">
        <v>76</v>
      </c>
      <c r="H63" s="51" t="s">
        <v>43</v>
      </c>
      <c r="I63" s="56" t="s">
        <v>190</v>
      </c>
      <c r="J63" s="53" t="s">
        <v>32</v>
      </c>
      <c r="K63" s="158">
        <v>50780</v>
      </c>
      <c r="L63" s="54"/>
      <c r="M63" s="55">
        <f t="shared" si="0"/>
        <v>0</v>
      </c>
      <c r="N63" s="202"/>
      <c r="O63" s="202"/>
      <c r="P63" s="202"/>
    </row>
    <row r="64" spans="3:16" x14ac:dyDescent="0.25">
      <c r="C64" s="48">
        <v>61</v>
      </c>
      <c r="D64" s="49">
        <v>832406</v>
      </c>
      <c r="E64" s="50">
        <v>45600</v>
      </c>
      <c r="F64" s="49" t="s">
        <v>186</v>
      </c>
      <c r="G64" s="49" t="s">
        <v>187</v>
      </c>
      <c r="H64" s="51" t="s">
        <v>43</v>
      </c>
      <c r="I64" s="56" t="s">
        <v>245</v>
      </c>
      <c r="J64" s="53" t="s">
        <v>32</v>
      </c>
      <c r="K64" s="158">
        <v>48210</v>
      </c>
      <c r="L64" s="54">
        <v>82.950599999999994</v>
      </c>
      <c r="M64" s="55">
        <f t="shared" si="0"/>
        <v>3999048.4259999995</v>
      </c>
      <c r="N64" s="202"/>
      <c r="O64" s="202"/>
      <c r="P64" s="202"/>
    </row>
    <row r="65" spans="3:16" x14ac:dyDescent="0.25">
      <c r="C65" s="199">
        <v>62</v>
      </c>
      <c r="D65" s="49">
        <v>833747</v>
      </c>
      <c r="E65" s="50">
        <v>45604</v>
      </c>
      <c r="F65" s="49" t="s">
        <v>48</v>
      </c>
      <c r="G65" s="49" t="s">
        <v>49</v>
      </c>
      <c r="H65" s="51" t="s">
        <v>43</v>
      </c>
      <c r="I65" s="56" t="s">
        <v>222</v>
      </c>
      <c r="J65" s="53" t="s">
        <v>165</v>
      </c>
      <c r="K65" s="158">
        <v>46431</v>
      </c>
      <c r="L65" s="54">
        <v>93.563199999999995</v>
      </c>
      <c r="M65" s="55">
        <f t="shared" si="0"/>
        <v>4344232.9391999999</v>
      </c>
      <c r="N65" s="202"/>
      <c r="O65" s="202"/>
      <c r="P65" s="202"/>
    </row>
    <row r="66" spans="3:16" x14ac:dyDescent="0.25">
      <c r="C66" s="48">
        <v>63</v>
      </c>
      <c r="D66" s="49">
        <v>834606</v>
      </c>
      <c r="E66" s="50">
        <v>45605</v>
      </c>
      <c r="F66" s="49" t="s">
        <v>131</v>
      </c>
      <c r="G66" s="49" t="s">
        <v>132</v>
      </c>
      <c r="H66" s="51" t="s">
        <v>43</v>
      </c>
      <c r="I66" s="52" t="s">
        <v>74</v>
      </c>
      <c r="J66" s="53" t="s">
        <v>32</v>
      </c>
      <c r="K66" s="158">
        <v>46552</v>
      </c>
      <c r="L66" s="54">
        <v>82.950599999999994</v>
      </c>
      <c r="M66" s="55">
        <f t="shared" si="0"/>
        <v>3861516.3311999999</v>
      </c>
      <c r="N66" s="202"/>
      <c r="O66" s="202"/>
      <c r="P66" s="202"/>
    </row>
    <row r="67" spans="3:16" x14ac:dyDescent="0.25">
      <c r="C67" s="199">
        <v>64</v>
      </c>
      <c r="D67" s="193">
        <v>834611</v>
      </c>
      <c r="E67" s="50">
        <v>45607</v>
      </c>
      <c r="F67" s="49" t="s">
        <v>35</v>
      </c>
      <c r="G67" s="49" t="s">
        <v>36</v>
      </c>
      <c r="H67" s="51" t="s">
        <v>43</v>
      </c>
      <c r="I67" s="56" t="s">
        <v>267</v>
      </c>
      <c r="J67" s="53" t="s">
        <v>32</v>
      </c>
      <c r="K67" s="158">
        <v>48475</v>
      </c>
      <c r="L67" s="54">
        <v>82.950599999999994</v>
      </c>
      <c r="M67" s="55">
        <f t="shared" si="0"/>
        <v>4021030.3349999995</v>
      </c>
      <c r="N67" s="202"/>
      <c r="O67" s="202"/>
      <c r="P67" s="202"/>
    </row>
    <row r="68" spans="3:16" x14ac:dyDescent="0.25">
      <c r="C68" s="48">
        <v>65</v>
      </c>
      <c r="D68" s="49">
        <v>833746</v>
      </c>
      <c r="E68" s="50">
        <v>45608</v>
      </c>
      <c r="F68" s="49" t="s">
        <v>160</v>
      </c>
      <c r="G68" s="49" t="s">
        <v>102</v>
      </c>
      <c r="H68" s="51" t="s">
        <v>43</v>
      </c>
      <c r="I68" s="52" t="s">
        <v>47</v>
      </c>
      <c r="J68" s="53" t="s">
        <v>33</v>
      </c>
      <c r="K68" s="158">
        <v>46127</v>
      </c>
      <c r="L68" s="54">
        <v>83.813500000000005</v>
      </c>
      <c r="M68" s="55">
        <f t="shared" si="0"/>
        <v>3866065.3145000003</v>
      </c>
      <c r="N68" s="202"/>
      <c r="O68" s="202"/>
      <c r="P68" s="202"/>
    </row>
    <row r="69" spans="3:16" x14ac:dyDescent="0.25">
      <c r="C69" s="199">
        <v>66</v>
      </c>
      <c r="D69" s="49">
        <v>836718</v>
      </c>
      <c r="E69" s="50">
        <v>45610</v>
      </c>
      <c r="F69" s="49" t="s">
        <v>92</v>
      </c>
      <c r="G69" s="49" t="s">
        <v>93</v>
      </c>
      <c r="H69" s="51" t="s">
        <v>43</v>
      </c>
      <c r="I69" s="56" t="s">
        <v>98</v>
      </c>
      <c r="J69" s="53" t="s">
        <v>32</v>
      </c>
      <c r="K69" s="158">
        <v>46272</v>
      </c>
      <c r="L69" s="54">
        <v>82.950599999999994</v>
      </c>
      <c r="M69" s="55">
        <f t="shared" si="0"/>
        <v>3838290.1631999998</v>
      </c>
      <c r="N69" s="202"/>
      <c r="O69" s="202"/>
      <c r="P69" s="202"/>
    </row>
    <row r="70" spans="3:16" x14ac:dyDescent="0.25">
      <c r="C70" s="48">
        <v>67</v>
      </c>
      <c r="D70" s="49">
        <v>837125</v>
      </c>
      <c r="E70" s="50">
        <v>45612</v>
      </c>
      <c r="F70" s="49" t="s">
        <v>234</v>
      </c>
      <c r="G70" s="49" t="s">
        <v>235</v>
      </c>
      <c r="H70" s="51" t="s">
        <v>43</v>
      </c>
      <c r="I70" s="56" t="s">
        <v>276</v>
      </c>
      <c r="J70" s="53" t="s">
        <v>32</v>
      </c>
      <c r="K70" s="158">
        <v>46269</v>
      </c>
      <c r="L70" s="54"/>
      <c r="M70" s="55">
        <v>0</v>
      </c>
      <c r="N70" s="202"/>
      <c r="O70" s="202"/>
      <c r="P70" s="202"/>
    </row>
    <row r="71" spans="3:16" x14ac:dyDescent="0.25">
      <c r="C71" s="199">
        <v>68</v>
      </c>
      <c r="D71" s="49">
        <v>837311</v>
      </c>
      <c r="E71" s="50">
        <v>45615</v>
      </c>
      <c r="F71" s="49" t="s">
        <v>125</v>
      </c>
      <c r="G71" s="49" t="s">
        <v>67</v>
      </c>
      <c r="H71" s="51" t="s">
        <v>43</v>
      </c>
      <c r="I71" s="56" t="s">
        <v>77</v>
      </c>
      <c r="J71" s="53" t="s">
        <v>32</v>
      </c>
      <c r="K71" s="158">
        <v>46127</v>
      </c>
      <c r="L71" s="54">
        <v>82.950599999999994</v>
      </c>
      <c r="M71" s="55">
        <f t="shared" si="0"/>
        <v>3826262.3261999995</v>
      </c>
      <c r="N71" s="202"/>
      <c r="O71" s="202"/>
      <c r="P71" s="202"/>
    </row>
    <row r="72" spans="3:16" x14ac:dyDescent="0.25">
      <c r="C72" s="48">
        <v>69</v>
      </c>
      <c r="D72" s="49">
        <v>838248</v>
      </c>
      <c r="E72" s="50">
        <v>45616</v>
      </c>
      <c r="F72" s="49" t="s">
        <v>146</v>
      </c>
      <c r="G72" s="49" t="s">
        <v>147</v>
      </c>
      <c r="H72" s="51" t="s">
        <v>43</v>
      </c>
      <c r="I72" s="52" t="s">
        <v>46</v>
      </c>
      <c r="J72" s="53" t="s">
        <v>32</v>
      </c>
      <c r="K72" s="158">
        <v>46204</v>
      </c>
      <c r="L72" s="54">
        <v>82.950599999999994</v>
      </c>
      <c r="M72" s="55">
        <f t="shared" si="0"/>
        <v>3832649.5223999997</v>
      </c>
      <c r="N72" s="202"/>
      <c r="O72" s="202"/>
      <c r="P72" s="202"/>
    </row>
    <row r="73" spans="3:16" x14ac:dyDescent="0.25">
      <c r="C73" s="199">
        <v>70</v>
      </c>
      <c r="D73" s="49">
        <v>838249</v>
      </c>
      <c r="E73" s="50">
        <v>45618</v>
      </c>
      <c r="F73" s="49" t="s">
        <v>150</v>
      </c>
      <c r="G73" s="49" t="s">
        <v>151</v>
      </c>
      <c r="H73" s="51" t="s">
        <v>43</v>
      </c>
      <c r="I73" s="56" t="s">
        <v>267</v>
      </c>
      <c r="J73" s="53" t="s">
        <v>33</v>
      </c>
      <c r="K73" s="158">
        <v>47340</v>
      </c>
      <c r="L73" s="54">
        <v>83.813500000000005</v>
      </c>
      <c r="M73" s="55">
        <f t="shared" si="0"/>
        <v>3967731.0900000003</v>
      </c>
      <c r="N73" s="202"/>
      <c r="O73" s="202"/>
      <c r="P73" s="202"/>
    </row>
    <row r="74" spans="3:16" x14ac:dyDescent="0.25">
      <c r="C74" s="48">
        <v>71</v>
      </c>
      <c r="D74" s="49">
        <v>839959</v>
      </c>
      <c r="E74" s="50"/>
      <c r="F74" s="49" t="s">
        <v>48</v>
      </c>
      <c r="G74" s="49" t="s">
        <v>49</v>
      </c>
      <c r="H74" s="51" t="s">
        <v>43</v>
      </c>
      <c r="I74" s="56" t="s">
        <v>284</v>
      </c>
      <c r="J74" s="53" t="s">
        <v>32</v>
      </c>
      <c r="K74" s="158">
        <v>46264</v>
      </c>
      <c r="L74" s="54">
        <v>82.950599999999994</v>
      </c>
      <c r="M74" s="55">
        <f t="shared" si="0"/>
        <v>3837626.5583999995</v>
      </c>
      <c r="N74" s="202"/>
      <c r="O74" s="202"/>
      <c r="P74" s="202"/>
    </row>
    <row r="75" spans="3:16" x14ac:dyDescent="0.25">
      <c r="C75" s="199">
        <v>72</v>
      </c>
      <c r="D75" s="49">
        <v>839955</v>
      </c>
      <c r="E75" s="50"/>
      <c r="F75" s="49" t="s">
        <v>186</v>
      </c>
      <c r="G75" s="49" t="s">
        <v>187</v>
      </c>
      <c r="H75" s="51" t="s">
        <v>43</v>
      </c>
      <c r="I75" s="56" t="s">
        <v>222</v>
      </c>
      <c r="J75" s="53" t="s">
        <v>165</v>
      </c>
      <c r="K75" s="158">
        <v>48516</v>
      </c>
      <c r="L75" s="54">
        <v>93.563199999999995</v>
      </c>
      <c r="M75" s="55">
        <f t="shared" si="0"/>
        <v>4539312.2111999998</v>
      </c>
      <c r="N75" s="202"/>
      <c r="O75" s="202"/>
      <c r="P75" s="202"/>
    </row>
    <row r="76" spans="3:16" x14ac:dyDescent="0.25">
      <c r="C76" s="48">
        <v>73</v>
      </c>
      <c r="D76" s="49"/>
      <c r="E76" s="50"/>
      <c r="F76" s="49"/>
      <c r="G76" s="49"/>
      <c r="H76" s="51" t="s">
        <v>43</v>
      </c>
      <c r="I76" s="56"/>
      <c r="J76" s="53"/>
      <c r="K76" s="158"/>
      <c r="L76" s="54"/>
      <c r="M76" s="55">
        <f t="shared" si="0"/>
        <v>0</v>
      </c>
      <c r="N76" s="202"/>
      <c r="O76" s="202"/>
      <c r="P76" s="202"/>
    </row>
    <row r="77" spans="3:16" x14ac:dyDescent="0.25">
      <c r="C77" s="199">
        <v>74</v>
      </c>
      <c r="D77" s="49"/>
      <c r="E77" s="50"/>
      <c r="F77" s="49"/>
      <c r="G77" s="49"/>
      <c r="H77" s="51" t="s">
        <v>43</v>
      </c>
      <c r="I77" s="56"/>
      <c r="J77" s="53"/>
      <c r="K77" s="158"/>
      <c r="L77" s="54"/>
      <c r="M77" s="55">
        <f t="shared" si="0"/>
        <v>0</v>
      </c>
      <c r="N77" s="202"/>
      <c r="O77" s="202"/>
      <c r="P77" s="202"/>
    </row>
    <row r="78" spans="3:16" x14ac:dyDescent="0.25">
      <c r="C78" s="48">
        <v>75</v>
      </c>
      <c r="D78" s="49"/>
      <c r="E78" s="50"/>
      <c r="F78" s="49"/>
      <c r="G78" s="49"/>
      <c r="H78" s="51" t="s">
        <v>43</v>
      </c>
      <c r="I78" s="56"/>
      <c r="J78" s="53"/>
      <c r="K78" s="158"/>
      <c r="L78" s="54"/>
      <c r="M78" s="55">
        <f t="shared" si="0"/>
        <v>0</v>
      </c>
      <c r="N78" s="202"/>
      <c r="O78" s="202"/>
      <c r="P78" s="202"/>
    </row>
    <row r="79" spans="3:16" x14ac:dyDescent="0.25">
      <c r="C79" s="199">
        <v>76</v>
      </c>
      <c r="D79" s="49"/>
      <c r="E79" s="50"/>
      <c r="F79" s="49"/>
      <c r="G79" s="49"/>
      <c r="H79" s="51" t="s">
        <v>43</v>
      </c>
      <c r="I79" s="56"/>
      <c r="J79" s="53"/>
      <c r="K79" s="158"/>
      <c r="L79" s="54"/>
      <c r="M79" s="55">
        <f t="shared" si="0"/>
        <v>0</v>
      </c>
      <c r="N79" s="202"/>
      <c r="O79" s="202"/>
      <c r="P79" s="202"/>
    </row>
    <row r="80" spans="3:16" x14ac:dyDescent="0.25">
      <c r="C80" s="48">
        <v>77</v>
      </c>
      <c r="D80" s="49"/>
      <c r="E80" s="50"/>
      <c r="F80" s="49"/>
      <c r="G80" s="49"/>
      <c r="H80" s="51" t="s">
        <v>43</v>
      </c>
      <c r="I80" s="56"/>
      <c r="J80" s="53"/>
      <c r="K80" s="158"/>
      <c r="L80" s="54"/>
      <c r="M80" s="55">
        <f t="shared" si="0"/>
        <v>0</v>
      </c>
      <c r="N80" s="202"/>
      <c r="O80" s="202"/>
      <c r="P80" s="202"/>
    </row>
    <row r="81" spans="3:16" x14ac:dyDescent="0.25">
      <c r="C81" s="199">
        <v>78</v>
      </c>
      <c r="D81" s="49"/>
      <c r="E81" s="50"/>
      <c r="F81" s="49"/>
      <c r="G81" s="49"/>
      <c r="H81" s="51" t="s">
        <v>43</v>
      </c>
      <c r="I81" s="56"/>
      <c r="J81" s="53"/>
      <c r="K81" s="158"/>
      <c r="L81" s="54"/>
      <c r="M81" s="55">
        <f t="shared" si="0"/>
        <v>0</v>
      </c>
      <c r="N81" s="202"/>
      <c r="O81" s="202"/>
      <c r="P81" s="202"/>
    </row>
    <row r="82" spans="3:16" x14ac:dyDescent="0.25">
      <c r="C82" s="48">
        <v>79</v>
      </c>
      <c r="D82" s="49"/>
      <c r="E82" s="50"/>
      <c r="F82" s="49"/>
      <c r="G82" s="49"/>
      <c r="H82" s="51" t="s">
        <v>43</v>
      </c>
      <c r="I82" s="56"/>
      <c r="J82" s="53"/>
      <c r="K82" s="158"/>
      <c r="L82" s="54"/>
      <c r="M82" s="55">
        <f t="shared" si="0"/>
        <v>0</v>
      </c>
      <c r="N82" s="202"/>
      <c r="O82" s="202"/>
      <c r="P82" s="202"/>
    </row>
    <row r="83" spans="3:16" x14ac:dyDescent="0.25">
      <c r="C83" s="199">
        <v>80</v>
      </c>
      <c r="D83" s="49"/>
      <c r="E83" s="50"/>
      <c r="F83" s="49"/>
      <c r="G83" s="49"/>
      <c r="H83" s="51" t="s">
        <v>43</v>
      </c>
      <c r="I83" s="56"/>
      <c r="J83" s="53"/>
      <c r="K83" s="158"/>
      <c r="L83" s="54"/>
      <c r="M83" s="55">
        <f t="shared" si="0"/>
        <v>0</v>
      </c>
      <c r="N83" s="202"/>
      <c r="O83" s="202"/>
      <c r="P83" s="202"/>
    </row>
    <row r="84" spans="3:16" x14ac:dyDescent="0.25">
      <c r="C84" s="48">
        <v>81</v>
      </c>
      <c r="D84" s="49"/>
      <c r="E84" s="50"/>
      <c r="F84" s="49"/>
      <c r="G84" s="49"/>
      <c r="H84" s="51" t="s">
        <v>43</v>
      </c>
      <c r="I84" s="56"/>
      <c r="J84" s="53"/>
      <c r="K84" s="158"/>
      <c r="L84" s="54"/>
      <c r="M84" s="55">
        <f t="shared" si="0"/>
        <v>0</v>
      </c>
      <c r="N84" s="202"/>
      <c r="O84" s="202"/>
      <c r="P84" s="202"/>
    </row>
    <row r="85" spans="3:16" x14ac:dyDescent="0.25">
      <c r="C85" s="199">
        <v>82</v>
      </c>
      <c r="D85" s="58"/>
      <c r="E85" s="50"/>
      <c r="F85" s="49"/>
      <c r="G85" s="49"/>
      <c r="H85" s="51" t="s">
        <v>43</v>
      </c>
      <c r="I85" s="56"/>
      <c r="J85" s="53"/>
      <c r="K85" s="158"/>
      <c r="L85" s="54"/>
      <c r="M85" s="55">
        <f t="shared" si="0"/>
        <v>0</v>
      </c>
      <c r="N85" s="202"/>
      <c r="O85" s="202"/>
      <c r="P85" s="202"/>
    </row>
    <row r="86" spans="3:16" x14ac:dyDescent="0.25">
      <c r="C86" s="48">
        <v>83</v>
      </c>
      <c r="D86" s="58"/>
      <c r="E86" s="50"/>
      <c r="F86" s="49"/>
      <c r="G86" s="49"/>
      <c r="H86" s="51" t="s">
        <v>43</v>
      </c>
      <c r="I86" s="56"/>
      <c r="J86" s="53"/>
      <c r="K86" s="158"/>
      <c r="L86" s="54"/>
      <c r="M86" s="55">
        <f t="shared" si="0"/>
        <v>0</v>
      </c>
      <c r="N86" s="202"/>
      <c r="O86" s="202"/>
      <c r="P86" s="202"/>
    </row>
    <row r="87" spans="3:16" x14ac:dyDescent="0.25">
      <c r="C87" s="199">
        <v>84</v>
      </c>
      <c r="D87" s="49"/>
      <c r="E87" s="50"/>
      <c r="F87" s="49"/>
      <c r="G87" s="49"/>
      <c r="H87" s="51" t="s">
        <v>43</v>
      </c>
      <c r="I87" s="56"/>
      <c r="J87" s="53"/>
      <c r="K87" s="158"/>
      <c r="L87" s="54"/>
      <c r="M87" s="55">
        <f t="shared" si="0"/>
        <v>0</v>
      </c>
      <c r="N87" s="202"/>
      <c r="O87" s="202"/>
      <c r="P87" s="202"/>
    </row>
    <row r="88" spans="3:16" x14ac:dyDescent="0.25">
      <c r="C88" s="48">
        <v>85</v>
      </c>
      <c r="D88" s="49"/>
      <c r="E88" s="50"/>
      <c r="F88" s="49"/>
      <c r="G88" s="49"/>
      <c r="H88" s="51" t="s">
        <v>43</v>
      </c>
      <c r="I88" s="56"/>
      <c r="J88" s="53"/>
      <c r="K88" s="158"/>
      <c r="L88" s="54"/>
      <c r="M88" s="55">
        <f t="shared" si="0"/>
        <v>0</v>
      </c>
      <c r="N88" s="202"/>
      <c r="O88" s="202"/>
      <c r="P88" s="202"/>
    </row>
    <row r="89" spans="3:16" ht="15.75" thickBot="1" x14ac:dyDescent="0.3">
      <c r="C89" s="200"/>
      <c r="D89" s="59"/>
      <c r="E89" s="59"/>
      <c r="F89" s="59"/>
      <c r="G89" s="60"/>
      <c r="H89" s="61"/>
      <c r="I89" s="61"/>
      <c r="J89" s="61"/>
      <c r="K89" s="62"/>
      <c r="L89" s="62"/>
      <c r="M89" s="63">
        <f>SUM(M8:M88)</f>
        <v>200674029.22540006</v>
      </c>
      <c r="N89" s="203"/>
      <c r="O89" s="203"/>
      <c r="P89" s="203"/>
    </row>
  </sheetData>
  <mergeCells count="2">
    <mergeCell ref="G6:G7"/>
    <mergeCell ref="V6:V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4</vt:i4>
      </vt:variant>
    </vt:vector>
  </HeadingPairs>
  <TitlesOfParts>
    <vt:vector size="22" baseType="lpstr">
      <vt:lpstr>summary</vt:lpstr>
      <vt:lpstr>EpSE Report</vt:lpstr>
      <vt:lpstr>Gesuba(Welaita)</vt:lpstr>
      <vt:lpstr>Metu(Elibabora)</vt:lpstr>
      <vt:lpstr>Leha(Gofa)</vt:lpstr>
      <vt:lpstr>Mito(Silta)</vt:lpstr>
      <vt:lpstr>Batu(Coustic Soda)</vt:lpstr>
      <vt:lpstr>Dashine(Gonder)</vt:lpstr>
      <vt:lpstr>Dubti(Sordo)</vt:lpstr>
      <vt:lpstr>Mykadra</vt:lpstr>
      <vt:lpstr>S.Humera</vt:lpstr>
      <vt:lpstr>Adebay</vt:lpstr>
      <vt:lpstr>Baeker</vt:lpstr>
      <vt:lpstr>Dansha(Wendem)</vt:lpstr>
      <vt:lpstr>Gonder Bikl Factory</vt:lpstr>
      <vt:lpstr>Deposit From  Others</vt:lpstr>
      <vt:lpstr>Dansha(Tegegne)</vt:lpstr>
      <vt:lpstr>Sheet1</vt:lpstr>
      <vt:lpstr>'Dashine(Gonder)'!Print_Area</vt:lpstr>
      <vt:lpstr>'EpSE Report'!Print_Area</vt:lpstr>
      <vt:lpstr>'Gesuba(Welaita)'!Print_Area</vt:lpstr>
      <vt:lpstr>'Leha(Gofa)'!Print_Area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BYS</cp:lastModifiedBy>
  <cp:lastPrinted>2024-12-26T06:17:35Z</cp:lastPrinted>
  <dcterms:created xsi:type="dcterms:W3CDTF">2024-07-11T13:20:26Z</dcterms:created>
  <dcterms:modified xsi:type="dcterms:W3CDTF">2025-01-12T20:59:03Z</dcterms:modified>
</cp:coreProperties>
</file>