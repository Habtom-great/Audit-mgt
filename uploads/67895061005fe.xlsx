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8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Sheet9" sheetId="9" r:id="rId9"/>
  </sheets>
  <definedNames>
    <definedName name="_xlnm._FilterDatabase" localSheetId="8" hidden="1">Sheet9!$B$2:$I$93</definedName>
  </definedNames>
  <calcPr calcId="124519"/>
</workbook>
</file>

<file path=xl/calcChain.xml><?xml version="1.0" encoding="utf-8"?>
<calcChain xmlns="http://schemas.openxmlformats.org/spreadsheetml/2006/main">
  <c r="J81" i="9"/>
  <c r="J82"/>
  <c r="J83"/>
  <c r="J84"/>
  <c r="J85"/>
  <c r="J86"/>
  <c r="J87"/>
  <c r="J80"/>
  <c r="J92"/>
  <c r="J79"/>
  <c r="J9"/>
  <c r="F95" i="1"/>
  <c r="E95"/>
  <c r="D95"/>
  <c r="C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95" s="1"/>
  <c r="D93" i="9"/>
  <c r="E93"/>
  <c r="F93"/>
  <c r="C93"/>
  <c r="G79"/>
  <c r="G92"/>
  <c r="G71"/>
  <c r="G72"/>
  <c r="G73"/>
  <c r="G74"/>
  <c r="G75"/>
  <c r="G76"/>
  <c r="G77"/>
  <c r="G78"/>
  <c r="G11"/>
  <c r="G80"/>
  <c r="G12"/>
  <c r="G13"/>
  <c r="G14"/>
  <c r="G15"/>
  <c r="G16"/>
  <c r="G17"/>
  <c r="G18"/>
  <c r="G19"/>
  <c r="G20"/>
  <c r="G21"/>
  <c r="G22"/>
  <c r="G88"/>
  <c r="G89"/>
  <c r="G23"/>
  <c r="G24"/>
  <c r="G3"/>
  <c r="G81"/>
  <c r="G82"/>
  <c r="G25"/>
  <c r="G26"/>
  <c r="G27"/>
  <c r="G28"/>
  <c r="G29"/>
  <c r="G30"/>
  <c r="G31"/>
  <c r="G32"/>
  <c r="G4"/>
  <c r="G5"/>
  <c r="G6"/>
  <c r="G90"/>
  <c r="G33"/>
  <c r="G34"/>
  <c r="G83"/>
  <c r="G35"/>
  <c r="G36"/>
  <c r="G37"/>
  <c r="G84"/>
  <c r="G38"/>
  <c r="G39"/>
  <c r="G40"/>
  <c r="G7"/>
  <c r="G91"/>
  <c r="G85"/>
  <c r="G86"/>
  <c r="G41"/>
  <c r="G42"/>
  <c r="G43"/>
  <c r="G44"/>
  <c r="G45"/>
  <c r="G46"/>
  <c r="G87"/>
  <c r="G47"/>
  <c r="G48"/>
  <c r="G49"/>
  <c r="G50"/>
  <c r="G51"/>
  <c r="G52"/>
  <c r="G53"/>
  <c r="G54"/>
  <c r="G55"/>
  <c r="G56"/>
  <c r="G57"/>
  <c r="G58"/>
  <c r="G59"/>
  <c r="G60"/>
  <c r="G8"/>
  <c r="G61"/>
  <c r="G62"/>
  <c r="G63"/>
  <c r="G64"/>
  <c r="G65"/>
  <c r="G66"/>
  <c r="G67"/>
  <c r="G68"/>
  <c r="G9"/>
  <c r="G69"/>
  <c r="G70"/>
  <c r="G10"/>
  <c r="G5" i="8"/>
  <c r="K19"/>
  <c r="K21" s="1"/>
  <c r="K18"/>
  <c r="D22"/>
  <c r="D31" s="1"/>
  <c r="D34" s="1"/>
  <c r="D19"/>
  <c r="D12"/>
  <c r="E6"/>
  <c r="E5"/>
  <c r="J35" i="6"/>
  <c r="J33"/>
  <c r="J32"/>
  <c r="K5"/>
  <c r="M5" s="1"/>
  <c r="N5" s="1"/>
  <c r="K11"/>
  <c r="K16"/>
  <c r="M16" s="1"/>
  <c r="K17"/>
  <c r="M17" s="1"/>
  <c r="K18"/>
  <c r="K26"/>
  <c r="K27"/>
  <c r="L4"/>
  <c r="L5"/>
  <c r="L6"/>
  <c r="L7"/>
  <c r="L8"/>
  <c r="L9"/>
  <c r="L10"/>
  <c r="L11"/>
  <c r="M11" s="1"/>
  <c r="N11" s="1"/>
  <c r="L12"/>
  <c r="L13"/>
  <c r="L14"/>
  <c r="L15"/>
  <c r="L16"/>
  <c r="L17"/>
  <c r="L18"/>
  <c r="L19"/>
  <c r="L20"/>
  <c r="L21"/>
  <c r="L22"/>
  <c r="L23"/>
  <c r="L24"/>
  <c r="L25"/>
  <c r="L26"/>
  <c r="L27"/>
  <c r="L28"/>
  <c r="L3"/>
  <c r="S28"/>
  <c r="U28"/>
  <c r="R28"/>
  <c r="R33"/>
  <c r="S32" s="1"/>
  <c r="T4"/>
  <c r="I21" s="1"/>
  <c r="T5"/>
  <c r="I22" s="1"/>
  <c r="T6"/>
  <c r="I24" s="1"/>
  <c r="T7"/>
  <c r="I23" s="1"/>
  <c r="T8"/>
  <c r="I14" s="1"/>
  <c r="T9"/>
  <c r="I5" s="1"/>
  <c r="T10"/>
  <c r="I17" s="1"/>
  <c r="T11"/>
  <c r="I16" s="1"/>
  <c r="N16" s="1"/>
  <c r="T12"/>
  <c r="I26" s="1"/>
  <c r="T13"/>
  <c r="I18" s="1"/>
  <c r="T14"/>
  <c r="I28" s="1"/>
  <c r="T15"/>
  <c r="I9" s="1"/>
  <c r="T16"/>
  <c r="I8" s="1"/>
  <c r="T17"/>
  <c r="I13" s="1"/>
  <c r="T18"/>
  <c r="I15" s="1"/>
  <c r="T19"/>
  <c r="I4" s="1"/>
  <c r="T20"/>
  <c r="I3" s="1"/>
  <c r="T21"/>
  <c r="U33" s="1"/>
  <c r="T22"/>
  <c r="I10" s="1"/>
  <c r="T23"/>
  <c r="I27" s="1"/>
  <c r="T24"/>
  <c r="I20" s="1"/>
  <c r="T25"/>
  <c r="I12" s="1"/>
  <c r="T26"/>
  <c r="I11" s="1"/>
  <c r="T27"/>
  <c r="I25" s="1"/>
  <c r="T3"/>
  <c r="I19" s="1"/>
  <c r="F4"/>
  <c r="K4" s="1"/>
  <c r="F6"/>
  <c r="K6" s="1"/>
  <c r="M6" s="1"/>
  <c r="F7"/>
  <c r="K7" s="1"/>
  <c r="F8"/>
  <c r="K8" s="1"/>
  <c r="M8" s="1"/>
  <c r="N8" s="1"/>
  <c r="F9"/>
  <c r="K9" s="1"/>
  <c r="F10"/>
  <c r="K10" s="1"/>
  <c r="M10" s="1"/>
  <c r="N10" s="1"/>
  <c r="F12"/>
  <c r="K12" s="1"/>
  <c r="M12" s="1"/>
  <c r="F13"/>
  <c r="K13" s="1"/>
  <c r="M13" s="1"/>
  <c r="N13" s="1"/>
  <c r="F14"/>
  <c r="K14" s="1"/>
  <c r="F15"/>
  <c r="K15" s="1"/>
  <c r="F19"/>
  <c r="K19" s="1"/>
  <c r="M19" s="1"/>
  <c r="F20"/>
  <c r="K20" s="1"/>
  <c r="M20" s="1"/>
  <c r="N20" s="1"/>
  <c r="F21"/>
  <c r="K21" s="1"/>
  <c r="F22"/>
  <c r="K22" s="1"/>
  <c r="M22" s="1"/>
  <c r="F23"/>
  <c r="K23" s="1"/>
  <c r="M23" s="1"/>
  <c r="N23" s="1"/>
  <c r="F24"/>
  <c r="K24" s="1"/>
  <c r="M24" s="1"/>
  <c r="N24" s="1"/>
  <c r="F25"/>
  <c r="K25" s="1"/>
  <c r="F27"/>
  <c r="F28"/>
  <c r="K28" s="1"/>
  <c r="M28" s="1"/>
  <c r="F3"/>
  <c r="K3" s="1"/>
  <c r="M3" s="1"/>
  <c r="K21" i="7"/>
  <c r="K18"/>
  <c r="K25" i="3"/>
  <c r="K27" s="1"/>
  <c r="K24"/>
  <c r="G36" i="2"/>
  <c r="G39" s="1"/>
  <c r="D19"/>
  <c r="D22"/>
  <c r="D12"/>
  <c r="D19" i="4"/>
  <c r="I19"/>
  <c r="I30" s="1"/>
  <c r="D22" s="1"/>
  <c r="D12"/>
  <c r="D19" i="3"/>
  <c r="D30" s="1"/>
  <c r="D33" s="1"/>
  <c r="G18"/>
  <c r="H20" s="1"/>
  <c r="I20" s="1"/>
  <c r="G6" s="1"/>
  <c r="E7"/>
  <c r="E12" s="1"/>
  <c r="E6"/>
  <c r="E5"/>
  <c r="H19" s="1"/>
  <c r="I19" s="1"/>
  <c r="G5" s="1"/>
  <c r="G12" s="1"/>
  <c r="E5" i="5"/>
  <c r="I19"/>
  <c r="I30" s="1"/>
  <c r="D22" s="1"/>
  <c r="D19"/>
  <c r="D12"/>
  <c r="E6" i="7"/>
  <c r="E5"/>
  <c r="D12"/>
  <c r="D19"/>
  <c r="D22"/>
  <c r="G93" i="9" l="1"/>
  <c r="E12" i="8"/>
  <c r="M14" i="6"/>
  <c r="S31"/>
  <c r="S33" s="1"/>
  <c r="M18"/>
  <c r="N18" s="1"/>
  <c r="N22"/>
  <c r="M15"/>
  <c r="N15" s="1"/>
  <c r="M26"/>
  <c r="N26" s="1"/>
  <c r="M27"/>
  <c r="N27" s="1"/>
  <c r="N14"/>
  <c r="N3"/>
  <c r="N17"/>
  <c r="M25"/>
  <c r="N25" s="1"/>
  <c r="M9"/>
  <c r="N9" s="1"/>
  <c r="N28"/>
  <c r="N19"/>
  <c r="N12"/>
  <c r="M7"/>
  <c r="M21"/>
  <c r="N21" s="1"/>
  <c r="K29"/>
  <c r="M4"/>
  <c r="U32"/>
  <c r="I7" s="1"/>
  <c r="U31"/>
  <c r="I6" s="1"/>
  <c r="T28"/>
  <c r="T32"/>
  <c r="T31"/>
  <c r="F29"/>
  <c r="D30" i="2"/>
  <c r="D33" s="1"/>
  <c r="E5" s="1"/>
  <c r="D30" i="4"/>
  <c r="D33" s="1"/>
  <c r="E5" s="1"/>
  <c r="F5" i="3"/>
  <c r="F6"/>
  <c r="H6" s="1"/>
  <c r="I6" s="1"/>
  <c r="F7"/>
  <c r="H7" s="1"/>
  <c r="I7" s="1"/>
  <c r="D30" i="5"/>
  <c r="D30" i="7"/>
  <c r="F12" i="8" l="1"/>
  <c r="M29" i="6"/>
  <c r="N4"/>
  <c r="I29"/>
  <c r="V32"/>
  <c r="H7"/>
  <c r="N7" s="1"/>
  <c r="V31"/>
  <c r="H6"/>
  <c r="N6" s="1"/>
  <c r="D33" i="7"/>
  <c r="G5"/>
  <c r="H5" s="1"/>
  <c r="G6"/>
  <c r="H6" s="1"/>
  <c r="F12" i="3"/>
  <c r="H5"/>
  <c r="D33" i="5"/>
  <c r="E12" i="7"/>
  <c r="G12" i="8" l="1"/>
  <c r="N29" i="6"/>
  <c r="H29"/>
  <c r="V33"/>
  <c r="G12" i="7"/>
  <c r="I5" i="3"/>
  <c r="H12"/>
  <c r="F5" i="7"/>
  <c r="F6"/>
  <c r="F12" l="1"/>
  <c r="J93" i="9"/>
</calcChain>
</file>

<file path=xl/sharedStrings.xml><?xml version="1.0" encoding="utf-8"?>
<sst xmlns="http://schemas.openxmlformats.org/spreadsheetml/2006/main" count="464" uniqueCount="106">
  <si>
    <t>NO</t>
  </si>
  <si>
    <t>ITEM</t>
  </si>
  <si>
    <t>USD</t>
  </si>
  <si>
    <t>TOTAL USD</t>
  </si>
  <si>
    <t>KG</t>
  </si>
  <si>
    <t>% 
VALUATION</t>
  </si>
  <si>
    <t>TOTAL COST
BIRR</t>
  </si>
  <si>
    <t>UNIT COST
PER KG</t>
  </si>
  <si>
    <t>VAT</t>
  </si>
  <si>
    <t>ACTUAL COST</t>
  </si>
  <si>
    <t>NO.</t>
  </si>
  <si>
    <t>DESCRIPTION</t>
  </si>
  <si>
    <t>AMOUNT</t>
  </si>
  <si>
    <t>BANK CHARGE</t>
  </si>
  <si>
    <t>FOB</t>
  </si>
  <si>
    <t>FREIGHT CHARGE</t>
  </si>
  <si>
    <t>INSURANCE</t>
  </si>
  <si>
    <t>SURE TAX</t>
  </si>
  <si>
    <t xml:space="preserve">TRANSPORT </t>
  </si>
  <si>
    <t>TRANSIT &amp; PORT CHARGR</t>
  </si>
  <si>
    <t>OTHER COST</t>
  </si>
  <si>
    <t>CUSTOM VALUE DIFFE.</t>
  </si>
  <si>
    <t>TOTAL</t>
  </si>
  <si>
    <t>WITHHOLDING</t>
  </si>
  <si>
    <t>EXCISE</t>
  </si>
  <si>
    <t>SCANING</t>
  </si>
  <si>
    <t>Scafolding pipe</t>
  </si>
  <si>
    <t>Scafoldding fastner</t>
  </si>
  <si>
    <t>R-007008</t>
  </si>
  <si>
    <t>TOYOTA HAILUX</t>
  </si>
  <si>
    <t>R-019492</t>
  </si>
  <si>
    <t>Bank charge</t>
  </si>
  <si>
    <t>Rate</t>
  </si>
  <si>
    <t>Total</t>
  </si>
  <si>
    <t>Total cost</t>
  </si>
  <si>
    <t>R-019009</t>
  </si>
  <si>
    <t>Excavator</t>
  </si>
  <si>
    <t>Loader</t>
  </si>
  <si>
    <t>Dump truck</t>
  </si>
  <si>
    <t>UNIT</t>
  </si>
  <si>
    <t>Ratio</t>
  </si>
  <si>
    <t>Unit cost</t>
  </si>
  <si>
    <t>Scanning</t>
  </si>
  <si>
    <t>Total usd 1 and 2</t>
  </si>
  <si>
    <t>RATIO</t>
  </si>
  <si>
    <t>Mobile crane</t>
  </si>
  <si>
    <t>Frieght as per CI</t>
  </si>
  <si>
    <t>Frieght as per deciaration</t>
  </si>
  <si>
    <t>Difference</t>
  </si>
  <si>
    <t>concrete mixer</t>
  </si>
  <si>
    <t>Vibrator machine</t>
  </si>
  <si>
    <t>Scaffolding</t>
  </si>
  <si>
    <t>Disel generator 58kw</t>
  </si>
  <si>
    <t>Disel generator 145kw</t>
  </si>
  <si>
    <t>Item</t>
  </si>
  <si>
    <t>forklift</t>
  </si>
  <si>
    <t>hand forklift</t>
  </si>
  <si>
    <t>battery charger</t>
  </si>
  <si>
    <t>utility cart</t>
  </si>
  <si>
    <t>polishing machine</t>
  </si>
  <si>
    <t>disk for polishing machine</t>
  </si>
  <si>
    <t>blade for polishing machine</t>
  </si>
  <si>
    <t>iron wire</t>
  </si>
  <si>
    <t>anchoring adhesive</t>
  </si>
  <si>
    <t>utility cart wheel</t>
  </si>
  <si>
    <t>utility cart tire</t>
  </si>
  <si>
    <t>fabric glove</t>
  </si>
  <si>
    <t>safty helemet</t>
  </si>
  <si>
    <t>quilt</t>
  </si>
  <si>
    <t>running machine</t>
  </si>
  <si>
    <t>high fire stove</t>
  </si>
  <si>
    <t>induction cooker</t>
  </si>
  <si>
    <t>psc</t>
  </si>
  <si>
    <t>usd</t>
  </si>
  <si>
    <t>nail</t>
  </si>
  <si>
    <t>boiler</t>
  </si>
  <si>
    <t>Welding rode</t>
  </si>
  <si>
    <t>vat</t>
  </si>
  <si>
    <t>wht</t>
  </si>
  <si>
    <t>duty</t>
  </si>
  <si>
    <t>tripod and centering rod</t>
  </si>
  <si>
    <t>FA</t>
  </si>
  <si>
    <t xml:space="preserve">FA </t>
  </si>
  <si>
    <t>CM</t>
  </si>
  <si>
    <t>ACC</t>
  </si>
  <si>
    <t>DUTY TAX</t>
  </si>
  <si>
    <t>U C F O</t>
  </si>
  <si>
    <t>TOTAL COST</t>
  </si>
  <si>
    <t>DPV value</t>
  </si>
  <si>
    <t>Invoice value</t>
  </si>
  <si>
    <t>4-007006</t>
  </si>
  <si>
    <t>Construction material</t>
  </si>
  <si>
    <t>C-28890</t>
  </si>
  <si>
    <t>SUR</t>
  </si>
  <si>
    <t>CUSTOME</t>
  </si>
  <si>
    <t>CATEGORY</t>
  </si>
  <si>
    <t>CONCRETE MIXER</t>
  </si>
  <si>
    <t>OFF SU</t>
  </si>
  <si>
    <t>TABLE ,FILE CABINATE</t>
  </si>
  <si>
    <t>OFFICE DESK</t>
  </si>
  <si>
    <t>GENERATOR</t>
  </si>
  <si>
    <t>COMPUTER</t>
  </si>
  <si>
    <t>EXCISE TAX</t>
  </si>
  <si>
    <t>PRINTER</t>
  </si>
  <si>
    <t>PULLY CRANE</t>
  </si>
  <si>
    <t>SAFE BOX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</si>
</sst>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000_);_(* \(#,##0.0000\);_(* &quot;-&quot;??_);_(@_)"/>
    <numFmt numFmtId="167" formatCode="0.0"/>
    <numFmt numFmtId="168" formatCode="#,##0.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Bookman Old Style"/>
      <family val="1"/>
    </font>
    <font>
      <b/>
      <i/>
      <sz val="10"/>
      <color theme="1"/>
      <name val="Bookman Old Style"/>
      <family val="1"/>
    </font>
    <font>
      <b/>
      <i/>
      <u/>
      <sz val="9"/>
      <color theme="1"/>
      <name val="Bookman Old Style"/>
      <family val="1"/>
    </font>
    <font>
      <b/>
      <i/>
      <u/>
      <sz val="10"/>
      <color theme="1"/>
      <name val="Bookman Old Style"/>
      <family val="1"/>
    </font>
    <font>
      <b/>
      <i/>
      <u val="singleAccounting"/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b/>
      <i/>
      <u val="singleAccounting"/>
      <sz val="11"/>
      <color theme="1"/>
      <name val="Bookman Old Style"/>
      <family val="1"/>
    </font>
    <font>
      <u val="singleAccounting"/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43" fontId="3" fillId="0" borderId="0" xfId="1" applyFont="1"/>
    <xf numFmtId="164" fontId="3" fillId="0" borderId="0" xfId="1" applyNumberFormat="1" applyFont="1"/>
    <xf numFmtId="43" fontId="3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43" fontId="0" fillId="0" borderId="0" xfId="1" applyNumberFormat="1" applyFo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NumberFormat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3" fontId="0" fillId="0" borderId="7" xfId="0" applyNumberFormat="1" applyBorder="1" applyAlignment="1">
      <alignment horizontal="center"/>
    </xf>
    <xf numFmtId="43" fontId="0" fillId="0" borderId="8" xfId="1" applyFont="1" applyBorder="1"/>
    <xf numFmtId="43" fontId="0" fillId="0" borderId="9" xfId="0" applyNumberForma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43" fontId="5" fillId="0" borderId="11" xfId="1" applyFont="1" applyBorder="1"/>
    <xf numFmtId="3" fontId="5" fillId="0" borderId="11" xfId="0" applyNumberFormat="1" applyFont="1" applyBorder="1" applyAlignment="1">
      <alignment horizontal="center"/>
    </xf>
    <xf numFmtId="43" fontId="5" fillId="0" borderId="12" xfId="1" applyFont="1" applyBorder="1"/>
    <xf numFmtId="0" fontId="5" fillId="0" borderId="13" xfId="0" applyFont="1" applyBorder="1"/>
    <xf numFmtId="164" fontId="5" fillId="0" borderId="0" xfId="1" applyNumberFormat="1" applyFont="1"/>
    <xf numFmtId="0" fontId="5" fillId="0" borderId="0" xfId="0" applyFont="1" applyAlignment="1">
      <alignment horizontal="center"/>
    </xf>
    <xf numFmtId="43" fontId="5" fillId="0" borderId="0" xfId="1" applyNumberFormat="1" applyFont="1"/>
    <xf numFmtId="43" fontId="5" fillId="0" borderId="0" xfId="1" applyFont="1"/>
    <xf numFmtId="0" fontId="5" fillId="0" borderId="0" xfId="0" applyFont="1"/>
    <xf numFmtId="43" fontId="0" fillId="0" borderId="0" xfId="0" applyNumberFormat="1"/>
    <xf numFmtId="43" fontId="0" fillId="0" borderId="0" xfId="1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7" fillId="0" borderId="0" xfId="1" applyFont="1" applyBorder="1" applyAlignment="1"/>
    <xf numFmtId="0" fontId="4" fillId="0" borderId="0" xfId="0" applyFont="1"/>
    <xf numFmtId="164" fontId="4" fillId="0" borderId="0" xfId="1" applyNumberFormat="1" applyFont="1"/>
    <xf numFmtId="43" fontId="4" fillId="0" borderId="0" xfId="1" applyNumberFormat="1" applyFont="1"/>
    <xf numFmtId="43" fontId="4" fillId="0" borderId="0" xfId="1" applyFont="1"/>
    <xf numFmtId="0" fontId="8" fillId="0" borderId="2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64" fontId="8" fillId="0" borderId="0" xfId="1" applyNumberFormat="1" applyFont="1"/>
    <xf numFmtId="43" fontId="8" fillId="0" borderId="0" xfId="1" applyNumberFormat="1" applyFont="1"/>
    <xf numFmtId="43" fontId="8" fillId="0" borderId="0" xfId="1" applyFont="1"/>
    <xf numFmtId="0" fontId="8" fillId="0" borderId="25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43" fontId="1" fillId="0" borderId="0" xfId="1" applyFont="1"/>
    <xf numFmtId="43" fontId="0" fillId="0" borderId="0" xfId="1" applyFont="1" applyBorder="1" applyAlignment="1">
      <alignment horizontal="center"/>
    </xf>
    <xf numFmtId="43" fontId="0" fillId="0" borderId="0" xfId="1" applyFont="1" applyBorder="1" applyAlignment="1">
      <alignment horizontal="right"/>
    </xf>
    <xf numFmtId="43" fontId="0" fillId="0" borderId="0" xfId="1" applyFont="1" applyBorder="1"/>
    <xf numFmtId="0" fontId="9" fillId="0" borderId="26" xfId="0" applyFont="1" applyBorder="1" applyAlignment="1">
      <alignment horizontal="left"/>
    </xf>
    <xf numFmtId="43" fontId="3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43" fontId="8" fillId="0" borderId="0" xfId="1" applyFont="1" applyAlignment="1">
      <alignment horizontal="center"/>
    </xf>
    <xf numFmtId="43" fontId="0" fillId="0" borderId="7" xfId="1" applyFont="1" applyBorder="1" applyAlignment="1"/>
    <xf numFmtId="43" fontId="5" fillId="0" borderId="11" xfId="1" applyFont="1" applyBorder="1" applyAlignment="1"/>
    <xf numFmtId="43" fontId="8" fillId="0" borderId="0" xfId="0" applyNumberFormat="1" applyFont="1" applyAlignment="1">
      <alignment horizontal="center"/>
    </xf>
    <xf numFmtId="166" fontId="0" fillId="0" borderId="7" xfId="1" applyNumberFormat="1" applyFont="1" applyBorder="1" applyAlignment="1"/>
    <xf numFmtId="166" fontId="5" fillId="0" borderId="11" xfId="1" applyNumberFormat="1" applyFont="1" applyBorder="1" applyAlignment="1"/>
    <xf numFmtId="43" fontId="2" fillId="0" borderId="8" xfId="1" applyFont="1" applyBorder="1"/>
    <xf numFmtId="0" fontId="9" fillId="0" borderId="22" xfId="0" applyFont="1" applyBorder="1" applyAlignment="1">
      <alignment horizontal="left"/>
    </xf>
    <xf numFmtId="43" fontId="4" fillId="0" borderId="4" xfId="1" applyFont="1" applyBorder="1" applyAlignment="1">
      <alignment horizontal="center" vertical="center"/>
    </xf>
    <xf numFmtId="43" fontId="1" fillId="0" borderId="8" xfId="1" applyFont="1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6" fillId="0" borderId="0" xfId="0" applyFont="1" applyBorder="1" applyAlignment="1"/>
    <xf numFmtId="43" fontId="8" fillId="0" borderId="0" xfId="1" applyFont="1" applyFill="1" applyBorder="1" applyAlignment="1"/>
    <xf numFmtId="43" fontId="8" fillId="0" borderId="0" xfId="1" applyFont="1" applyBorder="1" applyAlignment="1"/>
    <xf numFmtId="43" fontId="10" fillId="0" borderId="0" xfId="1" applyFont="1" applyBorder="1" applyAlignment="1"/>
    <xf numFmtId="43" fontId="0" fillId="0" borderId="14" xfId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43" fontId="8" fillId="0" borderId="38" xfId="1" applyFont="1" applyBorder="1" applyAlignment="1">
      <alignment horizontal="center"/>
    </xf>
    <xf numFmtId="43" fontId="8" fillId="0" borderId="1" xfId="1" applyFont="1" applyFill="1" applyBorder="1" applyAlignment="1"/>
    <xf numFmtId="43" fontId="8" fillId="0" borderId="15" xfId="1" applyFont="1" applyFill="1" applyBorder="1" applyAlignment="1"/>
    <xf numFmtId="43" fontId="8" fillId="0" borderId="39" xfId="1" applyFont="1" applyFill="1" applyBorder="1" applyAlignment="1"/>
    <xf numFmtId="43" fontId="8" fillId="0" borderId="7" xfId="1" applyFont="1" applyFill="1" applyBorder="1" applyAlignment="1"/>
    <xf numFmtId="43" fontId="4" fillId="0" borderId="38" xfId="1" applyFont="1" applyBorder="1" applyAlignment="1">
      <alignment horizontal="center"/>
    </xf>
    <xf numFmtId="0" fontId="4" fillId="0" borderId="1" xfId="0" applyFont="1" applyBorder="1"/>
    <xf numFmtId="0" fontId="4" fillId="0" borderId="15" xfId="0" applyFont="1" applyBorder="1"/>
    <xf numFmtId="43" fontId="8" fillId="0" borderId="6" xfId="1" applyFont="1" applyBorder="1" applyAlignment="1">
      <alignment horizontal="center"/>
    </xf>
    <xf numFmtId="43" fontId="8" fillId="0" borderId="9" xfId="1" applyFont="1" applyFill="1" applyBorder="1" applyAlignment="1"/>
    <xf numFmtId="43" fontId="8" fillId="0" borderId="26" xfId="1" applyFont="1" applyBorder="1" applyAlignment="1">
      <alignment horizontal="center"/>
    </xf>
    <xf numFmtId="43" fontId="8" fillId="0" borderId="27" xfId="1" applyFont="1" applyFill="1" applyBorder="1" applyAlignment="1"/>
    <xf numFmtId="43" fontId="0" fillId="0" borderId="34" xfId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1" applyFont="1" applyBorder="1" applyAlignment="1"/>
    <xf numFmtId="43" fontId="0" fillId="0" borderId="14" xfId="1" applyFont="1" applyBorder="1" applyAlignment="1"/>
    <xf numFmtId="43" fontId="0" fillId="0" borderId="34" xfId="1" applyFont="1" applyBorder="1" applyAlignment="1"/>
    <xf numFmtId="43" fontId="0" fillId="0" borderId="36" xfId="1" applyFont="1" applyBorder="1" applyAlignment="1">
      <alignment horizontal="center"/>
    </xf>
    <xf numFmtId="165" fontId="0" fillId="0" borderId="35" xfId="1" applyNumberFormat="1" applyFont="1" applyBorder="1" applyAlignment="1">
      <alignment horizontal="left"/>
    </xf>
    <xf numFmtId="165" fontId="0" fillId="0" borderId="35" xfId="1" applyNumberFormat="1" applyFont="1" applyBorder="1" applyAlignment="1">
      <alignment horizontal="center"/>
    </xf>
    <xf numFmtId="0" fontId="0" fillId="0" borderId="37" xfId="0" applyBorder="1" applyAlignment="1">
      <alignment horizontal="center"/>
    </xf>
    <xf numFmtId="165" fontId="0" fillId="0" borderId="38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2" fillId="0" borderId="15" xfId="0" applyNumberFormat="1" applyFont="1" applyBorder="1" applyAlignment="1">
      <alignment horizontal="center"/>
    </xf>
    <xf numFmtId="43" fontId="11" fillId="0" borderId="37" xfId="1" applyFont="1" applyBorder="1" applyAlignment="1">
      <alignment horizontal="center"/>
    </xf>
    <xf numFmtId="0" fontId="12" fillId="0" borderId="26" xfId="0" applyFont="1" applyBorder="1" applyAlignment="1">
      <alignment horizontal="left"/>
    </xf>
    <xf numFmtId="165" fontId="0" fillId="0" borderId="0" xfId="1" applyNumberFormat="1" applyFont="1" applyBorder="1" applyAlignment="1">
      <alignment horizontal="left"/>
    </xf>
    <xf numFmtId="43" fontId="1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43" fontId="2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8" fillId="0" borderId="0" xfId="1" applyFont="1" applyBorder="1"/>
    <xf numFmtId="43" fontId="0" fillId="0" borderId="14" xfId="1" applyFont="1" applyBorder="1" applyAlignment="1">
      <alignment horizontal="left"/>
    </xf>
    <xf numFmtId="165" fontId="0" fillId="0" borderId="38" xfId="1" applyNumberFormat="1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43" fontId="14" fillId="0" borderId="0" xfId="1" applyFont="1"/>
    <xf numFmtId="167" fontId="14" fillId="0" borderId="14" xfId="0" applyNumberFormat="1" applyFont="1" applyBorder="1"/>
    <xf numFmtId="43" fontId="14" fillId="0" borderId="34" xfId="1" applyFont="1" applyBorder="1"/>
    <xf numFmtId="43" fontId="14" fillId="0" borderId="36" xfId="0" applyNumberFormat="1" applyFont="1" applyBorder="1"/>
    <xf numFmtId="167" fontId="14" fillId="0" borderId="35" xfId="0" applyNumberFormat="1" applyFont="1" applyBorder="1"/>
    <xf numFmtId="43" fontId="14" fillId="0" borderId="0" xfId="1" applyFont="1" applyBorder="1"/>
    <xf numFmtId="43" fontId="14" fillId="0" borderId="37" xfId="0" applyNumberFormat="1" applyFont="1" applyBorder="1"/>
    <xf numFmtId="0" fontId="14" fillId="0" borderId="38" xfId="0" applyFont="1" applyBorder="1"/>
    <xf numFmtId="43" fontId="14" fillId="0" borderId="1" xfId="1" applyFont="1" applyBorder="1"/>
    <xf numFmtId="43" fontId="14" fillId="0" borderId="15" xfId="0" applyNumberFormat="1" applyFont="1" applyBorder="1"/>
    <xf numFmtId="43" fontId="13" fillId="0" borderId="0" xfId="1" applyFont="1"/>
    <xf numFmtId="43" fontId="14" fillId="0" borderId="0" xfId="0" applyNumberFormat="1" applyFont="1" applyAlignment="1">
      <alignment horizontal="left"/>
    </xf>
    <xf numFmtId="0" fontId="14" fillId="2" borderId="0" xfId="0" applyFont="1" applyFill="1"/>
    <xf numFmtId="0" fontId="14" fillId="3" borderId="0" xfId="0" applyFont="1" applyFill="1"/>
    <xf numFmtId="43" fontId="14" fillId="3" borderId="0" xfId="0" applyNumberFormat="1" applyFont="1" applyFill="1" applyAlignment="1">
      <alignment horizontal="left"/>
    </xf>
    <xf numFmtId="0" fontId="14" fillId="4" borderId="0" xfId="0" applyFont="1" applyFill="1"/>
    <xf numFmtId="0" fontId="14" fillId="0" borderId="23" xfId="0" applyFont="1" applyBorder="1"/>
    <xf numFmtId="0" fontId="13" fillId="0" borderId="40" xfId="0" applyFont="1" applyBorder="1"/>
    <xf numFmtId="43" fontId="13" fillId="0" borderId="40" xfId="1" applyFont="1" applyBorder="1"/>
    <xf numFmtId="43" fontId="13" fillId="0" borderId="40" xfId="1" applyFont="1" applyBorder="1" applyAlignment="1">
      <alignment horizontal="center"/>
    </xf>
    <xf numFmtId="43" fontId="13" fillId="0" borderId="24" xfId="1" applyFont="1" applyBorder="1"/>
    <xf numFmtId="0" fontId="14" fillId="0" borderId="26" xfId="0" applyFont="1" applyBorder="1"/>
    <xf numFmtId="0" fontId="14" fillId="0" borderId="39" xfId="0" applyFont="1" applyBorder="1"/>
    <xf numFmtId="43" fontId="14" fillId="0" borderId="39" xfId="1" applyFont="1" applyBorder="1"/>
    <xf numFmtId="43" fontId="14" fillId="0" borderId="27" xfId="1" applyFont="1" applyBorder="1"/>
    <xf numFmtId="0" fontId="14" fillId="0" borderId="10" xfId="0" applyFont="1" applyBorder="1"/>
    <xf numFmtId="0" fontId="14" fillId="0" borderId="11" xfId="0" applyFont="1" applyBorder="1"/>
    <xf numFmtId="43" fontId="13" fillId="0" borderId="11" xfId="1" applyFont="1" applyBorder="1"/>
    <xf numFmtId="43" fontId="13" fillId="0" borderId="13" xfId="1" applyFont="1" applyBorder="1"/>
    <xf numFmtId="166" fontId="0" fillId="0" borderId="34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5" fillId="0" borderId="11" xfId="0" applyNumberFormat="1" applyFont="1" applyBorder="1" applyAlignment="1">
      <alignment horizontal="center"/>
    </xf>
    <xf numFmtId="43" fontId="0" fillId="0" borderId="34" xfId="1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43" fontId="8" fillId="0" borderId="22" xfId="1" applyFont="1" applyFill="1" applyBorder="1" applyAlignment="1">
      <alignment horizontal="center"/>
    </xf>
    <xf numFmtId="43" fontId="8" fillId="0" borderId="9" xfId="1" applyFont="1" applyFill="1" applyBorder="1" applyAlignment="1">
      <alignment horizontal="center"/>
    </xf>
    <xf numFmtId="0" fontId="9" fillId="0" borderId="29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43" fontId="8" fillId="0" borderId="33" xfId="1" applyFont="1" applyFill="1" applyBorder="1" applyAlignment="1">
      <alignment horizontal="center"/>
    </xf>
    <xf numFmtId="43" fontId="8" fillId="0" borderId="30" xfId="1" applyFont="1" applyFill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43" fontId="10" fillId="0" borderId="20" xfId="1" applyFont="1" applyBorder="1" applyAlignment="1">
      <alignment horizontal="center"/>
    </xf>
    <xf numFmtId="43" fontId="10" fillId="0" borderId="5" xfId="1" applyFont="1" applyBorder="1" applyAlignment="1">
      <alignment horizontal="center"/>
    </xf>
    <xf numFmtId="0" fontId="9" fillId="0" borderId="25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43" fontId="8" fillId="0" borderId="25" xfId="1" applyFont="1" applyFill="1" applyBorder="1" applyAlignment="1">
      <alignment horizontal="center"/>
    </xf>
    <xf numFmtId="43" fontId="8" fillId="0" borderId="31" xfId="1" applyFont="1" applyFill="1" applyBorder="1" applyAlignment="1">
      <alignment horizontal="center"/>
    </xf>
    <xf numFmtId="0" fontId="9" fillId="0" borderId="26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43" fontId="8" fillId="0" borderId="28" xfId="1" applyFont="1" applyFill="1" applyBorder="1" applyAlignment="1">
      <alignment horizontal="center"/>
    </xf>
    <xf numFmtId="43" fontId="8" fillId="0" borderId="27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3" fontId="8" fillId="0" borderId="25" xfId="1" applyFont="1" applyBorder="1" applyAlignment="1">
      <alignment horizontal="center"/>
    </xf>
    <xf numFmtId="43" fontId="8" fillId="0" borderId="31" xfId="1" applyFont="1" applyBorder="1" applyAlignment="1">
      <alignment horizontal="center"/>
    </xf>
    <xf numFmtId="43" fontId="8" fillId="0" borderId="29" xfId="1" applyFont="1" applyBorder="1" applyAlignment="1">
      <alignment horizontal="center"/>
    </xf>
    <xf numFmtId="43" fontId="8" fillId="0" borderId="30" xfId="1" applyFont="1" applyBorder="1" applyAlignment="1">
      <alignment horizontal="center"/>
    </xf>
    <xf numFmtId="43" fontId="8" fillId="0" borderId="23" xfId="1" applyFont="1" applyFill="1" applyBorder="1" applyAlignment="1">
      <alignment horizontal="center"/>
    </xf>
    <xf numFmtId="43" fontId="8" fillId="0" borderId="24" xfId="1" applyFont="1" applyFill="1" applyBorder="1" applyAlignment="1">
      <alignment horizontal="center"/>
    </xf>
    <xf numFmtId="43" fontId="10" fillId="0" borderId="2" xfId="1" applyFont="1" applyBorder="1" applyAlignment="1">
      <alignment horizontal="center"/>
    </xf>
    <xf numFmtId="43" fontId="8" fillId="0" borderId="26" xfId="1" applyFont="1" applyFill="1" applyBorder="1" applyAlignment="1">
      <alignment horizontal="center"/>
    </xf>
    <xf numFmtId="43" fontId="8" fillId="0" borderId="26" xfId="1" applyFont="1" applyBorder="1" applyAlignment="1">
      <alignment horizontal="center"/>
    </xf>
    <xf numFmtId="43" fontId="8" fillId="0" borderId="27" xfId="1" applyFont="1" applyBorder="1" applyAlignment="1">
      <alignment horizontal="center"/>
    </xf>
    <xf numFmtId="0" fontId="6" fillId="0" borderId="0" xfId="0" applyFont="1" applyAlignment="1">
      <alignment horizontal="center"/>
    </xf>
    <xf numFmtId="43" fontId="14" fillId="0" borderId="0" xfId="0" applyNumberFormat="1" applyFont="1"/>
    <xf numFmtId="0" fontId="15" fillId="0" borderId="0" xfId="0" applyFont="1"/>
    <xf numFmtId="43" fontId="15" fillId="0" borderId="0" xfId="1" applyFont="1"/>
    <xf numFmtId="0" fontId="15" fillId="0" borderId="23" xfId="0" applyFont="1" applyBorder="1"/>
    <xf numFmtId="0" fontId="16" fillId="0" borderId="40" xfId="0" applyFont="1" applyBorder="1" applyAlignment="1">
      <alignment horizontal="center"/>
    </xf>
    <xf numFmtId="0" fontId="16" fillId="0" borderId="40" xfId="0" applyFont="1" applyBorder="1"/>
    <xf numFmtId="43" fontId="16" fillId="0" borderId="40" xfId="1" applyFont="1" applyBorder="1"/>
    <xf numFmtId="0" fontId="15" fillId="0" borderId="24" xfId="0" applyFont="1" applyBorder="1"/>
    <xf numFmtId="0" fontId="14" fillId="0" borderId="27" xfId="0" applyFont="1" applyBorder="1"/>
    <xf numFmtId="43" fontId="13" fillId="0" borderId="11" xfId="0" applyNumberFormat="1" applyFont="1" applyBorder="1"/>
    <xf numFmtId="43" fontId="14" fillId="0" borderId="11" xfId="1" applyFont="1" applyBorder="1"/>
    <xf numFmtId="0" fontId="14" fillId="0" borderId="13" xfId="0" applyFont="1" applyBorder="1"/>
    <xf numFmtId="0" fontId="15" fillId="0" borderId="41" xfId="0" applyFont="1" applyBorder="1"/>
    <xf numFmtId="43" fontId="14" fillId="0" borderId="42" xfId="0" applyNumberFormat="1" applyFont="1" applyBorder="1"/>
    <xf numFmtId="0" fontId="14" fillId="0" borderId="42" xfId="0" applyFont="1" applyBorder="1"/>
    <xf numFmtId="43" fontId="14" fillId="0" borderId="42" xfId="1" applyFont="1" applyBorder="1"/>
    <xf numFmtId="43" fontId="13" fillId="0" borderId="42" xfId="0" applyNumberFormat="1" applyFont="1" applyBorder="1"/>
    <xf numFmtId="43" fontId="13" fillId="0" borderId="43" xfId="0" applyNumberFormat="1" applyFont="1" applyBorder="1"/>
    <xf numFmtId="0" fontId="14" fillId="0" borderId="44" xfId="0" applyFont="1" applyBorder="1"/>
    <xf numFmtId="43" fontId="13" fillId="0" borderId="45" xfId="0" applyNumberFormat="1" applyFont="1" applyBorder="1"/>
    <xf numFmtId="43" fontId="13" fillId="0" borderId="46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96"/>
  <sheetViews>
    <sheetView topLeftCell="A85" workbookViewId="0">
      <selection activeCell="E10" sqref="E10"/>
    </sheetView>
  </sheetViews>
  <sheetFormatPr defaultRowHeight="15"/>
  <cols>
    <col min="1" max="1" width="4.140625" style="6" customWidth="1"/>
    <col min="2" max="2" width="4.28515625" customWidth="1"/>
    <col min="3" max="3" width="11.5703125" style="7" bestFit="1" customWidth="1"/>
    <col min="4" max="4" width="14.42578125" style="8" bestFit="1" customWidth="1"/>
    <col min="5" max="5" width="13.85546875" style="8" customWidth="1"/>
    <col min="6" max="6" width="13.28515625" style="39" customWidth="1"/>
    <col min="7" max="7" width="14.5703125" style="6" bestFit="1" customWidth="1"/>
    <col min="8" max="8" width="12" style="6" bestFit="1" customWidth="1"/>
    <col min="9" max="9" width="25.140625" style="6" bestFit="1" customWidth="1"/>
    <col min="10" max="10" width="12.28515625" style="8" customWidth="1"/>
    <col min="11" max="11" width="12.28515625" style="8" bestFit="1" customWidth="1"/>
    <col min="12" max="12" width="13.28515625" bestFit="1" customWidth="1"/>
    <col min="13" max="13" width="14.5703125" style="8" customWidth="1"/>
    <col min="14" max="14" width="16.28515625" style="8" customWidth="1"/>
    <col min="15" max="15" width="11.42578125" style="8" customWidth="1"/>
    <col min="16" max="16" width="10.42578125" customWidth="1"/>
    <col min="17" max="17" width="11.5703125" style="9" bestFit="1" customWidth="1"/>
    <col min="18" max="19" width="6.140625" style="6" bestFit="1" customWidth="1"/>
    <col min="20" max="20" width="14.5703125" style="10" bestFit="1" customWidth="1"/>
    <col min="21" max="21" width="14.5703125" style="8" bestFit="1" customWidth="1"/>
  </cols>
  <sheetData>
    <row r="2" spans="1:21" s="2" customFormat="1" ht="16.5" thickBot="1">
      <c r="A2" s="1"/>
      <c r="C2" s="174" t="s">
        <v>92</v>
      </c>
      <c r="D2" s="174"/>
      <c r="E2" s="174"/>
      <c r="F2" s="61"/>
      <c r="G2" s="175"/>
      <c r="H2" s="175"/>
      <c r="I2" s="175"/>
      <c r="J2" s="175"/>
      <c r="K2" s="175"/>
      <c r="M2" s="3"/>
      <c r="N2" s="3"/>
      <c r="O2" s="3"/>
      <c r="Q2" s="4"/>
      <c r="R2" s="1"/>
      <c r="S2" s="1"/>
      <c r="T2" s="5"/>
      <c r="U2" s="3"/>
    </row>
    <row r="3" spans="1:21" ht="4.5" customHeight="1" thickBot="1">
      <c r="C3" s="8"/>
      <c r="E3" s="6"/>
      <c r="I3" s="8"/>
      <c r="K3"/>
      <c r="L3" s="8"/>
      <c r="O3"/>
      <c r="P3" s="9"/>
      <c r="Q3" s="6"/>
      <c r="S3" s="10"/>
      <c r="T3" s="8"/>
      <c r="U3"/>
    </row>
    <row r="4" spans="1:21">
      <c r="B4" s="196"/>
      <c r="C4" s="197" t="s">
        <v>14</v>
      </c>
      <c r="D4" s="197" t="s">
        <v>102</v>
      </c>
      <c r="E4" s="197" t="s">
        <v>94</v>
      </c>
      <c r="F4" s="197" t="s">
        <v>93</v>
      </c>
      <c r="G4" s="198" t="s">
        <v>22</v>
      </c>
      <c r="H4" s="199" t="s">
        <v>95</v>
      </c>
      <c r="I4" s="200"/>
    </row>
    <row r="5" spans="1:21">
      <c r="B5" s="141">
        <v>1</v>
      </c>
      <c r="C5" s="143">
        <v>11297.25</v>
      </c>
      <c r="D5" s="143">
        <v>0</v>
      </c>
      <c r="E5" s="143">
        <v>0</v>
      </c>
      <c r="F5" s="143">
        <v>0</v>
      </c>
      <c r="G5" s="143">
        <f>C5+D5+E5+F5</f>
        <v>11297.25</v>
      </c>
      <c r="H5" s="143" t="s">
        <v>83</v>
      </c>
      <c r="I5" s="201"/>
    </row>
    <row r="6" spans="1:21">
      <c r="B6" s="141">
        <v>2</v>
      </c>
      <c r="C6" s="143">
        <v>3453.14</v>
      </c>
      <c r="D6" s="143">
        <v>0</v>
      </c>
      <c r="E6" s="143">
        <v>0</v>
      </c>
      <c r="F6" s="143">
        <v>0</v>
      </c>
      <c r="G6" s="143">
        <f t="shared" ref="G6:G69" si="0">C6+D6+E6+F6</f>
        <v>3453.14</v>
      </c>
      <c r="H6" s="143" t="s">
        <v>83</v>
      </c>
      <c r="I6" s="201"/>
    </row>
    <row r="7" spans="1:21">
      <c r="B7" s="141">
        <v>3</v>
      </c>
      <c r="C7" s="143">
        <v>35385</v>
      </c>
      <c r="D7" s="143">
        <v>0</v>
      </c>
      <c r="E7" s="143">
        <v>0</v>
      </c>
      <c r="F7" s="143">
        <v>0</v>
      </c>
      <c r="G7" s="143">
        <f t="shared" si="0"/>
        <v>35385</v>
      </c>
      <c r="H7" s="143" t="s">
        <v>82</v>
      </c>
      <c r="I7" s="201" t="s">
        <v>96</v>
      </c>
    </row>
    <row r="8" spans="1:21">
      <c r="B8" s="141">
        <v>4</v>
      </c>
      <c r="C8" s="143">
        <v>16734.13</v>
      </c>
      <c r="D8" s="143">
        <v>0</v>
      </c>
      <c r="E8" s="143">
        <v>0</v>
      </c>
      <c r="F8" s="143">
        <v>0</v>
      </c>
      <c r="G8" s="143">
        <f t="shared" si="0"/>
        <v>16734.13</v>
      </c>
      <c r="H8" s="143" t="s">
        <v>83</v>
      </c>
      <c r="I8" s="201"/>
    </row>
    <row r="9" spans="1:21">
      <c r="B9" s="141">
        <v>5</v>
      </c>
      <c r="C9" s="143">
        <v>37688.26</v>
      </c>
      <c r="D9" s="143">
        <v>0</v>
      </c>
      <c r="E9" s="143">
        <v>0</v>
      </c>
      <c r="F9" s="143">
        <v>0</v>
      </c>
      <c r="G9" s="143">
        <f t="shared" si="0"/>
        <v>37688.26</v>
      </c>
      <c r="H9" s="143" t="s">
        <v>83</v>
      </c>
      <c r="I9" s="201"/>
    </row>
    <row r="10" spans="1:21">
      <c r="B10" s="141">
        <v>6</v>
      </c>
      <c r="C10" s="143">
        <v>23028.97</v>
      </c>
      <c r="D10" s="143">
        <v>0</v>
      </c>
      <c r="E10" s="143">
        <v>0</v>
      </c>
      <c r="F10" s="143">
        <v>0</v>
      </c>
      <c r="G10" s="143">
        <f t="shared" si="0"/>
        <v>23028.97</v>
      </c>
      <c r="H10" s="143" t="s">
        <v>83</v>
      </c>
      <c r="I10" s="201"/>
    </row>
    <row r="11" spans="1:21">
      <c r="B11" s="141">
        <v>7</v>
      </c>
      <c r="C11" s="143">
        <v>6709.5</v>
      </c>
      <c r="D11" s="143">
        <v>0</v>
      </c>
      <c r="E11" s="143">
        <v>0</v>
      </c>
      <c r="F11" s="143">
        <v>0</v>
      </c>
      <c r="G11" s="143">
        <f t="shared" si="0"/>
        <v>6709.5</v>
      </c>
      <c r="H11" s="143" t="s">
        <v>83</v>
      </c>
      <c r="I11" s="201"/>
    </row>
    <row r="12" spans="1:21">
      <c r="B12" s="141">
        <v>8</v>
      </c>
      <c r="C12" s="143">
        <v>1119.2</v>
      </c>
      <c r="D12" s="143">
        <v>0</v>
      </c>
      <c r="E12" s="143">
        <v>0</v>
      </c>
      <c r="F12" s="143">
        <v>0</v>
      </c>
      <c r="G12" s="143">
        <f t="shared" si="0"/>
        <v>1119.2</v>
      </c>
      <c r="H12" s="143" t="s">
        <v>83</v>
      </c>
      <c r="I12" s="201"/>
    </row>
    <row r="13" spans="1:21">
      <c r="B13" s="141">
        <v>9</v>
      </c>
      <c r="C13" s="143">
        <v>48376.78</v>
      </c>
      <c r="D13" s="143">
        <v>0</v>
      </c>
      <c r="E13" s="143">
        <v>0</v>
      </c>
      <c r="F13" s="143">
        <v>0</v>
      </c>
      <c r="G13" s="143">
        <f t="shared" si="0"/>
        <v>48376.78</v>
      </c>
      <c r="H13" s="143" t="s">
        <v>83</v>
      </c>
      <c r="I13" s="144"/>
    </row>
    <row r="14" spans="1:21">
      <c r="B14" s="141">
        <v>10</v>
      </c>
      <c r="C14" s="143">
        <v>10742.85</v>
      </c>
      <c r="D14" s="143">
        <v>0</v>
      </c>
      <c r="E14" s="143">
        <v>0</v>
      </c>
      <c r="F14" s="143">
        <v>0</v>
      </c>
      <c r="G14" s="143">
        <f t="shared" si="0"/>
        <v>10742.85</v>
      </c>
      <c r="H14" s="143" t="s">
        <v>83</v>
      </c>
      <c r="I14" s="144"/>
    </row>
    <row r="15" spans="1:21">
      <c r="B15" s="141">
        <v>11</v>
      </c>
      <c r="C15" s="143">
        <v>1903.58</v>
      </c>
      <c r="D15" s="143">
        <v>0</v>
      </c>
      <c r="E15" s="143">
        <v>0</v>
      </c>
      <c r="F15" s="143">
        <v>0</v>
      </c>
      <c r="G15" s="143">
        <f t="shared" si="0"/>
        <v>1903.58</v>
      </c>
      <c r="H15" s="143" t="s">
        <v>83</v>
      </c>
      <c r="I15" s="144"/>
    </row>
    <row r="16" spans="1:21">
      <c r="B16" s="141">
        <v>12</v>
      </c>
      <c r="C16" s="143">
        <v>4550.3999999999996</v>
      </c>
      <c r="D16" s="143">
        <v>0</v>
      </c>
      <c r="E16" s="143">
        <v>0</v>
      </c>
      <c r="F16" s="143">
        <v>0</v>
      </c>
      <c r="G16" s="143">
        <f t="shared" si="0"/>
        <v>4550.3999999999996</v>
      </c>
      <c r="H16" s="143" t="s">
        <v>83</v>
      </c>
      <c r="I16" s="144"/>
    </row>
    <row r="17" spans="2:9">
      <c r="B17" s="141">
        <v>13</v>
      </c>
      <c r="C17" s="143">
        <v>53819.99</v>
      </c>
      <c r="D17" s="143">
        <v>0</v>
      </c>
      <c r="E17" s="143">
        <v>0</v>
      </c>
      <c r="F17" s="143">
        <v>0</v>
      </c>
      <c r="G17" s="143">
        <f t="shared" si="0"/>
        <v>53819.99</v>
      </c>
      <c r="H17" s="143" t="s">
        <v>83</v>
      </c>
      <c r="I17" s="144"/>
    </row>
    <row r="18" spans="2:9">
      <c r="B18" s="141">
        <v>14</v>
      </c>
      <c r="C18" s="143">
        <v>1469.12</v>
      </c>
      <c r="D18" s="143">
        <v>0</v>
      </c>
      <c r="E18" s="143">
        <v>0</v>
      </c>
      <c r="F18" s="143">
        <v>0</v>
      </c>
      <c r="G18" s="143">
        <f t="shared" si="0"/>
        <v>1469.12</v>
      </c>
      <c r="H18" s="143" t="s">
        <v>83</v>
      </c>
      <c r="I18" s="144"/>
    </row>
    <row r="19" spans="2:9">
      <c r="B19" s="141">
        <v>15</v>
      </c>
      <c r="C19" s="143">
        <v>251.66</v>
      </c>
      <c r="D19" s="143">
        <v>0</v>
      </c>
      <c r="E19" s="143">
        <v>75.489999999999995</v>
      </c>
      <c r="F19" s="143">
        <v>37.619999999999997</v>
      </c>
      <c r="G19" s="143">
        <f t="shared" si="0"/>
        <v>364.77</v>
      </c>
      <c r="H19" s="143" t="s">
        <v>97</v>
      </c>
      <c r="I19" s="144"/>
    </row>
    <row r="20" spans="2:9">
      <c r="B20" s="141">
        <v>16</v>
      </c>
      <c r="C20" s="143">
        <v>2973.39</v>
      </c>
      <c r="D20" s="143"/>
      <c r="E20" s="143">
        <v>892.01</v>
      </c>
      <c r="F20" s="143">
        <v>444.52</v>
      </c>
      <c r="G20" s="143">
        <f t="shared" si="0"/>
        <v>4309.92</v>
      </c>
      <c r="H20" s="143" t="s">
        <v>97</v>
      </c>
      <c r="I20" s="144"/>
    </row>
    <row r="21" spans="2:9">
      <c r="B21" s="141">
        <v>17</v>
      </c>
      <c r="C21" s="143">
        <v>743.2</v>
      </c>
      <c r="D21" s="143">
        <v>0</v>
      </c>
      <c r="E21" s="143">
        <v>222.96</v>
      </c>
      <c r="F21" s="143">
        <v>111.1</v>
      </c>
      <c r="G21" s="143">
        <f t="shared" si="0"/>
        <v>1077.26</v>
      </c>
      <c r="H21" s="143" t="s">
        <v>83</v>
      </c>
      <c r="I21" s="144"/>
    </row>
    <row r="22" spans="2:9">
      <c r="B22" s="141">
        <v>18</v>
      </c>
      <c r="C22" s="143">
        <v>7701.66</v>
      </c>
      <c r="D22" s="143">
        <v>0</v>
      </c>
      <c r="E22" s="143">
        <v>2310.4899999999998</v>
      </c>
      <c r="F22" s="143">
        <v>1151.3900000000001</v>
      </c>
      <c r="G22" s="143">
        <f t="shared" si="0"/>
        <v>11163.539999999999</v>
      </c>
      <c r="H22" s="143" t="s">
        <v>83</v>
      </c>
      <c r="I22" s="201"/>
    </row>
    <row r="23" spans="2:9">
      <c r="B23" s="141">
        <v>19</v>
      </c>
      <c r="C23" s="143">
        <v>14491.31</v>
      </c>
      <c r="D23" s="143">
        <v>0</v>
      </c>
      <c r="E23" s="143">
        <v>4347.3900000000003</v>
      </c>
      <c r="F23" s="143">
        <v>2166.4499999999998</v>
      </c>
      <c r="G23" s="143">
        <f t="shared" si="0"/>
        <v>21005.15</v>
      </c>
      <c r="H23" s="143" t="s">
        <v>84</v>
      </c>
      <c r="I23" s="201"/>
    </row>
    <row r="24" spans="2:9">
      <c r="B24" s="141">
        <v>20</v>
      </c>
      <c r="C24" s="143">
        <v>13366.05</v>
      </c>
      <c r="D24" s="143">
        <v>0</v>
      </c>
      <c r="E24" s="143">
        <v>4009.81</v>
      </c>
      <c r="F24" s="143">
        <v>1998.22</v>
      </c>
      <c r="G24" s="143">
        <f t="shared" si="0"/>
        <v>19374.080000000002</v>
      </c>
      <c r="H24" s="143" t="s">
        <v>82</v>
      </c>
      <c r="I24" s="201" t="s">
        <v>98</v>
      </c>
    </row>
    <row r="25" spans="2:9">
      <c r="B25" s="141">
        <v>21</v>
      </c>
      <c r="C25" s="143">
        <v>42517.78</v>
      </c>
      <c r="D25" s="143">
        <v>0</v>
      </c>
      <c r="E25" s="143">
        <v>14881.22</v>
      </c>
      <c r="F25" s="143">
        <v>6600.88</v>
      </c>
      <c r="G25" s="143">
        <f t="shared" si="0"/>
        <v>63999.88</v>
      </c>
      <c r="H25" s="143" t="s">
        <v>82</v>
      </c>
      <c r="I25" s="201" t="s">
        <v>99</v>
      </c>
    </row>
    <row r="26" spans="2:9">
      <c r="B26" s="141">
        <v>22</v>
      </c>
      <c r="C26" s="143">
        <v>443.78</v>
      </c>
      <c r="D26" s="143">
        <v>0</v>
      </c>
      <c r="E26" s="143">
        <v>133.13</v>
      </c>
      <c r="F26" s="143">
        <v>66.34</v>
      </c>
      <c r="G26" s="143">
        <f t="shared" si="0"/>
        <v>643.25</v>
      </c>
      <c r="H26" s="143" t="s">
        <v>83</v>
      </c>
      <c r="I26" s="201"/>
    </row>
    <row r="27" spans="2:9">
      <c r="B27" s="141">
        <v>23</v>
      </c>
      <c r="C27" s="143">
        <v>116.35</v>
      </c>
      <c r="D27" s="143">
        <v>0</v>
      </c>
      <c r="E27" s="143">
        <v>11.63</v>
      </c>
      <c r="F27" s="143">
        <v>14.71</v>
      </c>
      <c r="G27" s="143">
        <f t="shared" si="0"/>
        <v>142.69</v>
      </c>
      <c r="H27" s="143" t="s">
        <v>83</v>
      </c>
      <c r="I27" s="201"/>
    </row>
    <row r="28" spans="2:9">
      <c r="B28" s="141">
        <v>24</v>
      </c>
      <c r="C28" s="143">
        <v>12700.24</v>
      </c>
      <c r="D28" s="143">
        <v>0</v>
      </c>
      <c r="E28" s="143">
        <v>3810.07</v>
      </c>
      <c r="F28" s="143">
        <v>1898.68</v>
      </c>
      <c r="G28" s="143">
        <f t="shared" si="0"/>
        <v>18408.990000000002</v>
      </c>
      <c r="H28" s="143" t="s">
        <v>83</v>
      </c>
      <c r="I28" s="201"/>
    </row>
    <row r="29" spans="2:9">
      <c r="B29" s="141">
        <v>25</v>
      </c>
      <c r="C29" s="143">
        <v>25408.46</v>
      </c>
      <c r="D29" s="143"/>
      <c r="E29" s="143">
        <v>7622.53</v>
      </c>
      <c r="F29" s="143">
        <v>3798.56</v>
      </c>
      <c r="G29" s="143">
        <f t="shared" si="0"/>
        <v>36829.549999999996</v>
      </c>
      <c r="H29" s="143" t="s">
        <v>83</v>
      </c>
      <c r="I29" s="201"/>
    </row>
    <row r="30" spans="2:9">
      <c r="B30" s="141">
        <v>26</v>
      </c>
      <c r="C30" s="143">
        <v>59090.57</v>
      </c>
      <c r="D30" s="143">
        <v>0</v>
      </c>
      <c r="E30" s="143">
        <v>17727.169999999998</v>
      </c>
      <c r="F30" s="143">
        <v>8834.0400000000009</v>
      </c>
      <c r="G30" s="143">
        <f t="shared" si="0"/>
        <v>85651.78</v>
      </c>
      <c r="H30" s="143" t="s">
        <v>83</v>
      </c>
      <c r="I30" s="201"/>
    </row>
    <row r="31" spans="2:9">
      <c r="B31" s="141">
        <v>27</v>
      </c>
      <c r="C31" s="143">
        <v>86.17</v>
      </c>
      <c r="D31" s="143">
        <v>0</v>
      </c>
      <c r="E31" s="143">
        <v>4.3</v>
      </c>
      <c r="F31" s="143">
        <v>10.4</v>
      </c>
      <c r="G31" s="143">
        <f t="shared" si="0"/>
        <v>100.87</v>
      </c>
      <c r="H31" s="143" t="s">
        <v>83</v>
      </c>
      <c r="I31" s="201"/>
    </row>
    <row r="32" spans="2:9">
      <c r="B32" s="141">
        <v>28</v>
      </c>
      <c r="C32" s="143">
        <v>12406.59</v>
      </c>
      <c r="D32" s="143">
        <v>0</v>
      </c>
      <c r="E32" s="143">
        <v>620.32000000000005</v>
      </c>
      <c r="F32" s="143">
        <v>1498.09</v>
      </c>
      <c r="G32" s="143">
        <f t="shared" si="0"/>
        <v>14525</v>
      </c>
      <c r="H32" s="143" t="s">
        <v>83</v>
      </c>
      <c r="I32" s="201"/>
    </row>
    <row r="33" spans="2:9">
      <c r="B33" s="141">
        <v>29</v>
      </c>
      <c r="C33" s="143">
        <v>2775.25</v>
      </c>
      <c r="D33" s="143">
        <v>0</v>
      </c>
      <c r="E33" s="143">
        <v>555.04999999999995</v>
      </c>
      <c r="F33" s="143">
        <v>382.98</v>
      </c>
      <c r="G33" s="143">
        <f t="shared" si="0"/>
        <v>3713.28</v>
      </c>
      <c r="H33" s="143" t="s">
        <v>83</v>
      </c>
      <c r="I33" s="201"/>
    </row>
    <row r="34" spans="2:9">
      <c r="B34" s="141">
        <v>30</v>
      </c>
      <c r="C34" s="143">
        <v>15786.73</v>
      </c>
      <c r="D34" s="143">
        <v>2052.27</v>
      </c>
      <c r="E34" s="143">
        <v>4736.01</v>
      </c>
      <c r="F34" s="143">
        <v>3386.25</v>
      </c>
      <c r="G34" s="143">
        <f t="shared" si="0"/>
        <v>25961.260000000002</v>
      </c>
      <c r="H34" s="143" t="s">
        <v>84</v>
      </c>
      <c r="I34" s="201"/>
    </row>
    <row r="35" spans="2:9">
      <c r="B35" s="141">
        <v>31</v>
      </c>
      <c r="C35" s="143">
        <v>8278.2800000000007</v>
      </c>
      <c r="D35" s="143">
        <v>0</v>
      </c>
      <c r="E35" s="143">
        <v>2483.48</v>
      </c>
      <c r="F35" s="143">
        <v>1237.5999999999999</v>
      </c>
      <c r="G35" s="143">
        <f t="shared" si="0"/>
        <v>11999.36</v>
      </c>
      <c r="H35" s="143" t="s">
        <v>84</v>
      </c>
      <c r="I35" s="201"/>
    </row>
    <row r="36" spans="2:9">
      <c r="B36" s="141">
        <v>32</v>
      </c>
      <c r="C36" s="143">
        <v>6907.1</v>
      </c>
      <c r="D36" s="143">
        <v>0</v>
      </c>
      <c r="E36" s="143">
        <v>2072.13</v>
      </c>
      <c r="F36" s="143">
        <v>1032.6099999999999</v>
      </c>
      <c r="G36" s="143">
        <f t="shared" si="0"/>
        <v>10011.84</v>
      </c>
      <c r="H36" s="143" t="s">
        <v>84</v>
      </c>
      <c r="I36" s="201"/>
    </row>
    <row r="37" spans="2:9">
      <c r="B37" s="141">
        <v>33</v>
      </c>
      <c r="C37" s="143">
        <v>2681.93</v>
      </c>
      <c r="D37" s="143">
        <v>0</v>
      </c>
      <c r="E37" s="143">
        <v>268.19</v>
      </c>
      <c r="F37" s="143">
        <v>339.26</v>
      </c>
      <c r="G37" s="143">
        <f t="shared" si="0"/>
        <v>3289.38</v>
      </c>
      <c r="H37" s="143" t="s">
        <v>97</v>
      </c>
      <c r="I37" s="201"/>
    </row>
    <row r="38" spans="2:9">
      <c r="B38" s="141">
        <v>34</v>
      </c>
      <c r="C38" s="143">
        <v>4144.21</v>
      </c>
      <c r="D38" s="143">
        <v>0</v>
      </c>
      <c r="E38" s="143">
        <v>207.21</v>
      </c>
      <c r="F38" s="143">
        <v>500.41</v>
      </c>
      <c r="G38" s="143">
        <f t="shared" si="0"/>
        <v>4851.83</v>
      </c>
      <c r="H38" s="143" t="s">
        <v>83</v>
      </c>
      <c r="I38" s="201"/>
    </row>
    <row r="39" spans="2:9">
      <c r="B39" s="141">
        <v>35</v>
      </c>
      <c r="C39" s="143">
        <v>23569.08</v>
      </c>
      <c r="D39" s="143">
        <v>0</v>
      </c>
      <c r="E39" s="143">
        <v>2356.9</v>
      </c>
      <c r="F39" s="143">
        <v>2981.48</v>
      </c>
      <c r="G39" s="143">
        <f t="shared" si="0"/>
        <v>28907.460000000003</v>
      </c>
      <c r="H39" s="143" t="s">
        <v>83</v>
      </c>
      <c r="I39" s="201"/>
    </row>
    <row r="40" spans="2:9">
      <c r="B40" s="141">
        <v>36</v>
      </c>
      <c r="C40" s="143">
        <v>19509.11</v>
      </c>
      <c r="D40" s="143">
        <v>0</v>
      </c>
      <c r="E40" s="143">
        <v>975.45</v>
      </c>
      <c r="F40" s="143">
        <v>2355.7199999999998</v>
      </c>
      <c r="G40" s="143">
        <f t="shared" si="0"/>
        <v>22840.280000000002</v>
      </c>
      <c r="H40" s="143" t="s">
        <v>82</v>
      </c>
      <c r="I40" s="201" t="s">
        <v>100</v>
      </c>
    </row>
    <row r="41" spans="2:9">
      <c r="B41" s="141">
        <v>37</v>
      </c>
      <c r="C41" s="143">
        <v>116.35</v>
      </c>
      <c r="D41" s="143">
        <v>0</v>
      </c>
      <c r="E41" s="143">
        <v>23.27</v>
      </c>
      <c r="F41" s="143">
        <v>16.05</v>
      </c>
      <c r="G41" s="143">
        <f t="shared" si="0"/>
        <v>155.67000000000002</v>
      </c>
      <c r="H41" s="143" t="s">
        <v>83</v>
      </c>
      <c r="I41" s="201"/>
    </row>
    <row r="42" spans="2:9">
      <c r="B42" s="141">
        <v>38</v>
      </c>
      <c r="C42" s="143">
        <v>868.62</v>
      </c>
      <c r="D42" s="143">
        <v>0</v>
      </c>
      <c r="E42" s="143">
        <v>173.72</v>
      </c>
      <c r="F42" s="143">
        <v>119.86</v>
      </c>
      <c r="G42" s="143">
        <f t="shared" si="0"/>
        <v>1162.1999999999998</v>
      </c>
      <c r="H42" s="143" t="s">
        <v>83</v>
      </c>
      <c r="I42" s="201"/>
    </row>
    <row r="43" spans="2:9">
      <c r="B43" s="141">
        <v>39</v>
      </c>
      <c r="C43" s="143">
        <v>2017.2</v>
      </c>
      <c r="D43" s="143">
        <v>0</v>
      </c>
      <c r="E43" s="143">
        <v>100.86</v>
      </c>
      <c r="F43" s="143">
        <v>243.57</v>
      </c>
      <c r="G43" s="143">
        <f t="shared" si="0"/>
        <v>2361.63</v>
      </c>
      <c r="H43" s="143" t="s">
        <v>83</v>
      </c>
      <c r="I43" s="201"/>
    </row>
    <row r="44" spans="2:9">
      <c r="B44" s="141">
        <v>40</v>
      </c>
      <c r="C44" s="143">
        <v>21706.93</v>
      </c>
      <c r="D44" s="143">
        <v>0</v>
      </c>
      <c r="E44" s="143">
        <v>0</v>
      </c>
      <c r="F44" s="143">
        <v>0</v>
      </c>
      <c r="G44" s="143">
        <f t="shared" si="0"/>
        <v>21706.93</v>
      </c>
      <c r="H44" s="143" t="s">
        <v>82</v>
      </c>
      <c r="I44" s="201" t="s">
        <v>101</v>
      </c>
    </row>
    <row r="45" spans="2:9">
      <c r="B45" s="141">
        <v>41</v>
      </c>
      <c r="C45" s="143">
        <v>16496.18</v>
      </c>
      <c r="D45" s="143">
        <v>0</v>
      </c>
      <c r="E45" s="143">
        <v>824.8</v>
      </c>
      <c r="F45" s="143">
        <v>1991.91</v>
      </c>
      <c r="G45" s="143">
        <f t="shared" si="0"/>
        <v>19312.89</v>
      </c>
      <c r="H45" s="143" t="s">
        <v>83</v>
      </c>
      <c r="I45" s="201"/>
    </row>
    <row r="46" spans="2:9">
      <c r="B46" s="141">
        <v>42</v>
      </c>
      <c r="C46" s="143">
        <v>1034.67</v>
      </c>
      <c r="D46" s="143">
        <v>0</v>
      </c>
      <c r="E46" s="143">
        <v>51.73</v>
      </c>
      <c r="F46" s="143">
        <v>124.93</v>
      </c>
      <c r="G46" s="143">
        <f t="shared" si="0"/>
        <v>1211.3300000000002</v>
      </c>
      <c r="H46" s="143" t="s">
        <v>83</v>
      </c>
      <c r="I46" s="201"/>
    </row>
    <row r="47" spans="2:9">
      <c r="B47" s="141">
        <v>43</v>
      </c>
      <c r="C47" s="143">
        <v>2330.63</v>
      </c>
      <c r="D47" s="143">
        <v>0</v>
      </c>
      <c r="E47" s="143">
        <v>116.53</v>
      </c>
      <c r="F47" s="143">
        <v>281.42</v>
      </c>
      <c r="G47" s="143">
        <f t="shared" si="0"/>
        <v>2728.5800000000004</v>
      </c>
      <c r="H47" s="143" t="s">
        <v>83</v>
      </c>
      <c r="I47" s="201"/>
    </row>
    <row r="48" spans="2:9">
      <c r="B48" s="141">
        <v>44</v>
      </c>
      <c r="C48" s="143">
        <v>4853.1099999999997</v>
      </c>
      <c r="D48" s="143">
        <v>1747.11</v>
      </c>
      <c r="E48" s="143">
        <v>970.62</v>
      </c>
      <c r="F48" s="143">
        <v>870.64</v>
      </c>
      <c r="G48" s="143">
        <f t="shared" si="0"/>
        <v>8441.48</v>
      </c>
      <c r="H48" s="143" t="s">
        <v>84</v>
      </c>
      <c r="I48" s="201"/>
    </row>
    <row r="49" spans="2:9">
      <c r="B49" s="141">
        <v>45</v>
      </c>
      <c r="C49" s="143">
        <v>11346.92</v>
      </c>
      <c r="D49" s="143">
        <v>0</v>
      </c>
      <c r="E49" s="143">
        <v>1134.69</v>
      </c>
      <c r="F49" s="143">
        <v>1435.38</v>
      </c>
      <c r="G49" s="143">
        <f t="shared" si="0"/>
        <v>13916.990000000002</v>
      </c>
      <c r="H49" s="143" t="s">
        <v>97</v>
      </c>
      <c r="I49" s="201"/>
    </row>
    <row r="50" spans="2:9">
      <c r="B50" s="141">
        <v>46</v>
      </c>
      <c r="C50" s="143">
        <v>20226.810000000001</v>
      </c>
      <c r="D50" s="143">
        <v>0</v>
      </c>
      <c r="E50" s="143">
        <v>2022.68</v>
      </c>
      <c r="F50" s="143">
        <v>2558.69</v>
      </c>
      <c r="G50" s="143">
        <f t="shared" si="0"/>
        <v>24808.18</v>
      </c>
      <c r="H50" s="143" t="s">
        <v>82</v>
      </c>
      <c r="I50" s="201" t="s">
        <v>103</v>
      </c>
    </row>
    <row r="51" spans="2:9">
      <c r="B51" s="141">
        <v>47</v>
      </c>
      <c r="C51" s="143">
        <v>14800.35</v>
      </c>
      <c r="D51" s="143">
        <v>0</v>
      </c>
      <c r="E51" s="143">
        <v>740.01</v>
      </c>
      <c r="F51" s="143">
        <v>1787.14</v>
      </c>
      <c r="G51" s="143">
        <f t="shared" si="0"/>
        <v>17327.5</v>
      </c>
      <c r="H51" s="143" t="s">
        <v>82</v>
      </c>
      <c r="I51" s="201" t="s">
        <v>104</v>
      </c>
    </row>
    <row r="52" spans="2:9">
      <c r="B52" s="141">
        <v>48</v>
      </c>
      <c r="C52" s="143">
        <v>11185.54</v>
      </c>
      <c r="D52" s="143">
        <v>0</v>
      </c>
      <c r="E52" s="143">
        <v>2237.1</v>
      </c>
      <c r="F52" s="143">
        <v>1543.6</v>
      </c>
      <c r="G52" s="143">
        <f t="shared" si="0"/>
        <v>14966.240000000002</v>
      </c>
      <c r="H52" s="143" t="s">
        <v>83</v>
      </c>
      <c r="I52" s="201"/>
    </row>
    <row r="53" spans="2:9">
      <c r="B53" s="141">
        <v>49</v>
      </c>
      <c r="C53" s="143">
        <v>1704.05</v>
      </c>
      <c r="D53" s="143">
        <v>0</v>
      </c>
      <c r="E53" s="143">
        <v>85.2</v>
      </c>
      <c r="F53" s="143">
        <v>205.76</v>
      </c>
      <c r="G53" s="143">
        <f t="shared" si="0"/>
        <v>1995.01</v>
      </c>
      <c r="H53" s="143" t="s">
        <v>83</v>
      </c>
      <c r="I53" s="201"/>
    </row>
    <row r="54" spans="2:9">
      <c r="B54" s="141">
        <v>50</v>
      </c>
      <c r="C54" s="143">
        <v>7996.14</v>
      </c>
      <c r="D54" s="143">
        <v>0</v>
      </c>
      <c r="E54" s="143">
        <v>1599.22</v>
      </c>
      <c r="F54" s="143">
        <v>1103.46</v>
      </c>
      <c r="G54" s="143">
        <f t="shared" si="0"/>
        <v>10698.82</v>
      </c>
      <c r="H54" s="143" t="s">
        <v>83</v>
      </c>
      <c r="I54" s="201"/>
    </row>
    <row r="55" spans="2:9">
      <c r="B55" s="141">
        <v>51</v>
      </c>
      <c r="C55" s="143">
        <v>6336.8</v>
      </c>
      <c r="D55" s="143">
        <v>0</v>
      </c>
      <c r="E55" s="143">
        <v>633.67999999999995</v>
      </c>
      <c r="F55" s="143">
        <v>801.6</v>
      </c>
      <c r="G55" s="143">
        <f t="shared" si="0"/>
        <v>7772.0800000000008</v>
      </c>
      <c r="H55" s="143" t="s">
        <v>83</v>
      </c>
      <c r="I55" s="201"/>
    </row>
    <row r="56" spans="2:9">
      <c r="B56" s="141">
        <v>52</v>
      </c>
      <c r="C56" s="143">
        <v>15093.47</v>
      </c>
      <c r="D56" s="143">
        <v>0</v>
      </c>
      <c r="E56" s="143">
        <v>1509.34</v>
      </c>
      <c r="F56" s="143">
        <v>1909.32</v>
      </c>
      <c r="G56" s="143">
        <f t="shared" si="0"/>
        <v>18512.129999999997</v>
      </c>
      <c r="H56" s="143" t="s">
        <v>83</v>
      </c>
      <c r="I56" s="201"/>
    </row>
    <row r="57" spans="2:9">
      <c r="B57" s="141">
        <v>53</v>
      </c>
      <c r="C57" s="143">
        <v>414.41</v>
      </c>
      <c r="D57" s="143">
        <v>0</v>
      </c>
      <c r="E57" s="143">
        <v>82.88</v>
      </c>
      <c r="F57" s="143">
        <v>57.18</v>
      </c>
      <c r="G57" s="143">
        <f t="shared" si="0"/>
        <v>554.47</v>
      </c>
      <c r="H57" s="143" t="s">
        <v>83</v>
      </c>
      <c r="I57" s="201"/>
    </row>
    <row r="58" spans="2:9">
      <c r="B58" s="141">
        <v>54</v>
      </c>
      <c r="C58" s="143">
        <v>14800.35</v>
      </c>
      <c r="D58" s="143">
        <v>0</v>
      </c>
      <c r="E58" s="143">
        <v>2960.07</v>
      </c>
      <c r="F58" s="143">
        <v>2042.44</v>
      </c>
      <c r="G58" s="143">
        <f t="shared" si="0"/>
        <v>19802.86</v>
      </c>
      <c r="H58" s="143" t="s">
        <v>82</v>
      </c>
      <c r="I58" s="201" t="s">
        <v>105</v>
      </c>
    </row>
    <row r="59" spans="2:9">
      <c r="B59" s="141">
        <v>55</v>
      </c>
      <c r="C59" s="143">
        <v>3157.55</v>
      </c>
      <c r="D59" s="143">
        <v>0</v>
      </c>
      <c r="E59" s="143">
        <v>631.51</v>
      </c>
      <c r="F59" s="143">
        <v>435.74</v>
      </c>
      <c r="G59" s="143">
        <f t="shared" si="0"/>
        <v>4224.8</v>
      </c>
      <c r="H59" s="143" t="s">
        <v>83</v>
      </c>
      <c r="I59" s="201"/>
    </row>
    <row r="60" spans="2:9">
      <c r="B60" s="141">
        <v>56</v>
      </c>
      <c r="C60" s="143">
        <v>1016.01</v>
      </c>
      <c r="D60" s="143">
        <v>0</v>
      </c>
      <c r="E60" s="143">
        <v>304.8</v>
      </c>
      <c r="F60" s="143">
        <v>151.88999999999999</v>
      </c>
      <c r="G60" s="143">
        <f t="shared" si="0"/>
        <v>1472.6999999999998</v>
      </c>
      <c r="H60" s="143" t="s">
        <v>83</v>
      </c>
      <c r="I60" s="201"/>
    </row>
    <row r="61" spans="2:9">
      <c r="B61" s="141">
        <v>57</v>
      </c>
      <c r="C61" s="143">
        <v>13745.08</v>
      </c>
      <c r="D61" s="143">
        <v>0</v>
      </c>
      <c r="E61" s="143">
        <v>4123.5200000000004</v>
      </c>
      <c r="F61" s="143">
        <v>2054.88</v>
      </c>
      <c r="G61" s="143">
        <f t="shared" si="0"/>
        <v>19923.48</v>
      </c>
      <c r="H61" s="143" t="s">
        <v>83</v>
      </c>
      <c r="I61" s="201"/>
    </row>
    <row r="62" spans="2:9">
      <c r="B62" s="141">
        <v>58</v>
      </c>
      <c r="C62" s="143">
        <v>469.29</v>
      </c>
      <c r="D62" s="143">
        <v>0</v>
      </c>
      <c r="E62" s="143">
        <v>93.85</v>
      </c>
      <c r="F62" s="143">
        <v>64.760000000000005</v>
      </c>
      <c r="G62" s="143">
        <f t="shared" si="0"/>
        <v>627.9</v>
      </c>
      <c r="H62" s="143" t="s">
        <v>83</v>
      </c>
      <c r="I62" s="201"/>
    </row>
    <row r="63" spans="2:9">
      <c r="B63" s="141">
        <v>59</v>
      </c>
      <c r="C63" s="143">
        <v>1288.26</v>
      </c>
      <c r="D63" s="143">
        <v>0</v>
      </c>
      <c r="E63" s="143">
        <v>257.64999999999998</v>
      </c>
      <c r="F63" s="143">
        <v>177.77</v>
      </c>
      <c r="G63" s="143">
        <f t="shared" si="0"/>
        <v>1723.6799999999998</v>
      </c>
      <c r="H63" s="143" t="s">
        <v>83</v>
      </c>
      <c r="I63" s="201"/>
    </row>
    <row r="64" spans="2:9">
      <c r="B64" s="141">
        <v>60</v>
      </c>
      <c r="C64" s="143">
        <v>361.43</v>
      </c>
      <c r="D64" s="143">
        <v>0</v>
      </c>
      <c r="E64" s="143">
        <v>72.28</v>
      </c>
      <c r="F64" s="143">
        <v>49.87</v>
      </c>
      <c r="G64" s="143">
        <f t="shared" si="0"/>
        <v>483.58000000000004</v>
      </c>
      <c r="H64" s="143" t="s">
        <v>83</v>
      </c>
      <c r="I64" s="201"/>
    </row>
    <row r="65" spans="2:9">
      <c r="B65" s="141">
        <v>61</v>
      </c>
      <c r="C65" s="143">
        <v>17303.900000000001</v>
      </c>
      <c r="D65" s="143">
        <v>0</v>
      </c>
      <c r="E65" s="143">
        <v>3460.78</v>
      </c>
      <c r="F65" s="143">
        <v>2387.9299999999998</v>
      </c>
      <c r="G65" s="143">
        <f t="shared" si="0"/>
        <v>23152.61</v>
      </c>
      <c r="H65" s="143" t="s">
        <v>83</v>
      </c>
      <c r="I65" s="201"/>
    </row>
    <row r="66" spans="2:9">
      <c r="B66" s="141">
        <v>62</v>
      </c>
      <c r="C66" s="143">
        <v>36439.769999999997</v>
      </c>
      <c r="D66" s="143">
        <v>0</v>
      </c>
      <c r="E66" s="143">
        <v>7287.95</v>
      </c>
      <c r="F66" s="143">
        <v>5028.68</v>
      </c>
      <c r="G66" s="143">
        <f t="shared" si="0"/>
        <v>48756.399999999994</v>
      </c>
      <c r="H66" s="143" t="s">
        <v>83</v>
      </c>
      <c r="I66" s="201"/>
    </row>
    <row r="67" spans="2:9">
      <c r="B67" s="141">
        <v>63</v>
      </c>
      <c r="C67" s="143">
        <v>1282.5</v>
      </c>
      <c r="D67" s="143">
        <v>0</v>
      </c>
      <c r="E67" s="143">
        <v>256.5</v>
      </c>
      <c r="F67" s="143">
        <v>176.98</v>
      </c>
      <c r="G67" s="143">
        <f t="shared" si="0"/>
        <v>1715.98</v>
      </c>
      <c r="H67" s="143" t="s">
        <v>83</v>
      </c>
      <c r="I67" s="201"/>
    </row>
    <row r="68" spans="2:9">
      <c r="B68" s="141">
        <v>64</v>
      </c>
      <c r="C68" s="143">
        <v>147.91</v>
      </c>
      <c r="D68" s="143">
        <v>0</v>
      </c>
      <c r="E68" s="143">
        <v>29.58</v>
      </c>
      <c r="F68" s="143">
        <v>20.41</v>
      </c>
      <c r="G68" s="143">
        <f t="shared" si="0"/>
        <v>197.9</v>
      </c>
      <c r="H68" s="143" t="s">
        <v>83</v>
      </c>
      <c r="I68" s="201"/>
    </row>
    <row r="69" spans="2:9">
      <c r="B69" s="141">
        <v>65</v>
      </c>
      <c r="C69" s="143">
        <v>2171.7199999999998</v>
      </c>
      <c r="D69" s="143">
        <v>0</v>
      </c>
      <c r="E69" s="143">
        <v>434.34</v>
      </c>
      <c r="F69" s="143">
        <v>299.69</v>
      </c>
      <c r="G69" s="143">
        <f t="shared" si="0"/>
        <v>2905.75</v>
      </c>
      <c r="H69" s="143" t="s">
        <v>83</v>
      </c>
      <c r="I69" s="201"/>
    </row>
    <row r="70" spans="2:9">
      <c r="B70" s="141">
        <v>66</v>
      </c>
      <c r="C70" s="143">
        <v>4935.18</v>
      </c>
      <c r="D70" s="143">
        <v>0</v>
      </c>
      <c r="E70" s="143">
        <v>1480.55</v>
      </c>
      <c r="F70" s="143">
        <v>737.8</v>
      </c>
      <c r="G70" s="143">
        <f t="shared" ref="G70:G94" si="1">C70+D70+E70+F70</f>
        <v>7153.5300000000007</v>
      </c>
      <c r="H70" s="143" t="s">
        <v>83</v>
      </c>
      <c r="I70" s="201"/>
    </row>
    <row r="71" spans="2:9">
      <c r="B71" s="141">
        <v>67</v>
      </c>
      <c r="C71" s="143">
        <v>1526.21</v>
      </c>
      <c r="D71" s="143">
        <v>0</v>
      </c>
      <c r="E71" s="143">
        <v>457.86</v>
      </c>
      <c r="F71" s="143">
        <v>228.16</v>
      </c>
      <c r="G71" s="143">
        <f t="shared" si="1"/>
        <v>2212.23</v>
      </c>
      <c r="H71" s="143" t="s">
        <v>83</v>
      </c>
      <c r="I71" s="201"/>
    </row>
    <row r="72" spans="2:9">
      <c r="B72" s="141">
        <v>68</v>
      </c>
      <c r="C72" s="143">
        <v>1217.17</v>
      </c>
      <c r="D72" s="143">
        <v>0</v>
      </c>
      <c r="E72" s="143">
        <v>121.71</v>
      </c>
      <c r="F72" s="143">
        <v>153.97</v>
      </c>
      <c r="G72" s="143">
        <f t="shared" si="1"/>
        <v>1492.8500000000001</v>
      </c>
      <c r="H72" s="143" t="s">
        <v>83</v>
      </c>
      <c r="I72" s="201"/>
    </row>
    <row r="73" spans="2:9">
      <c r="B73" s="141">
        <v>69</v>
      </c>
      <c r="C73" s="143">
        <v>3031.58</v>
      </c>
      <c r="D73" s="143">
        <v>0</v>
      </c>
      <c r="E73" s="143">
        <v>606.30999999999995</v>
      </c>
      <c r="F73" s="143">
        <v>418.35</v>
      </c>
      <c r="G73" s="143">
        <f t="shared" si="1"/>
        <v>4056.24</v>
      </c>
      <c r="H73" s="143" t="s">
        <v>84</v>
      </c>
      <c r="I73" s="201"/>
    </row>
    <row r="74" spans="2:9">
      <c r="B74" s="141">
        <v>70</v>
      </c>
      <c r="C74" s="143">
        <v>1457.32</v>
      </c>
      <c r="D74" s="143">
        <v>0</v>
      </c>
      <c r="E74" s="143">
        <v>291.45999999999998</v>
      </c>
      <c r="F74" s="143">
        <v>201.1</v>
      </c>
      <c r="G74" s="143">
        <f t="shared" si="1"/>
        <v>1949.8799999999999</v>
      </c>
      <c r="H74" s="143" t="s">
        <v>83</v>
      </c>
      <c r="I74" s="201"/>
    </row>
    <row r="75" spans="2:9">
      <c r="B75" s="141">
        <v>71</v>
      </c>
      <c r="C75" s="143">
        <v>246.44</v>
      </c>
      <c r="D75" s="143">
        <v>0</v>
      </c>
      <c r="E75" s="143">
        <v>24.64</v>
      </c>
      <c r="F75" s="143">
        <v>31.17</v>
      </c>
      <c r="G75" s="143">
        <f t="shared" si="1"/>
        <v>302.25</v>
      </c>
      <c r="H75" s="143" t="s">
        <v>83</v>
      </c>
      <c r="I75" s="201"/>
    </row>
    <row r="76" spans="2:9">
      <c r="B76" s="141">
        <v>72</v>
      </c>
      <c r="C76" s="143">
        <v>36206.49</v>
      </c>
      <c r="D76" s="143">
        <v>0</v>
      </c>
      <c r="E76" s="143">
        <v>7241.29</v>
      </c>
      <c r="F76" s="143">
        <v>4996.49</v>
      </c>
      <c r="G76" s="143">
        <f t="shared" si="1"/>
        <v>48444.27</v>
      </c>
      <c r="H76" s="143" t="s">
        <v>83</v>
      </c>
      <c r="I76" s="201"/>
    </row>
    <row r="77" spans="2:9">
      <c r="B77" s="141">
        <v>73</v>
      </c>
      <c r="C77" s="143">
        <v>1495.47</v>
      </c>
      <c r="D77" s="143">
        <v>0</v>
      </c>
      <c r="E77" s="143">
        <v>149.54</v>
      </c>
      <c r="F77" s="143">
        <v>189.17</v>
      </c>
      <c r="G77" s="143">
        <f t="shared" si="1"/>
        <v>1834.18</v>
      </c>
      <c r="H77" s="143" t="s">
        <v>83</v>
      </c>
      <c r="I77" s="201"/>
    </row>
    <row r="78" spans="2:9">
      <c r="B78" s="141">
        <v>74</v>
      </c>
      <c r="C78" s="143">
        <v>20989.24</v>
      </c>
      <c r="D78" s="143">
        <v>0</v>
      </c>
      <c r="E78" s="143">
        <v>2098.92</v>
      </c>
      <c r="F78" s="143">
        <v>2655.13</v>
      </c>
      <c r="G78" s="143">
        <f t="shared" si="1"/>
        <v>25743.290000000005</v>
      </c>
      <c r="H78" s="143" t="s">
        <v>83</v>
      </c>
      <c r="I78" s="201"/>
    </row>
    <row r="79" spans="2:9">
      <c r="B79" s="141">
        <v>75</v>
      </c>
      <c r="C79" s="143">
        <v>27088.65</v>
      </c>
      <c r="D79" s="143">
        <v>0</v>
      </c>
      <c r="E79" s="143">
        <v>2708.86</v>
      </c>
      <c r="F79" s="143">
        <v>3426.71</v>
      </c>
      <c r="G79" s="143">
        <f t="shared" si="1"/>
        <v>33224.22</v>
      </c>
      <c r="H79" s="143" t="s">
        <v>83</v>
      </c>
      <c r="I79" s="201"/>
    </row>
    <row r="80" spans="2:9">
      <c r="B80" s="141">
        <v>76</v>
      </c>
      <c r="C80" s="143">
        <v>5923.48</v>
      </c>
      <c r="D80" s="143">
        <v>0</v>
      </c>
      <c r="E80" s="143">
        <v>0</v>
      </c>
      <c r="F80" s="143">
        <v>0</v>
      </c>
      <c r="G80" s="143">
        <f t="shared" si="1"/>
        <v>5923.48</v>
      </c>
      <c r="H80" s="143" t="s">
        <v>83</v>
      </c>
      <c r="I80" s="201"/>
    </row>
    <row r="81" spans="2:9">
      <c r="B81" s="141">
        <v>77</v>
      </c>
      <c r="C81" s="143">
        <v>985.27</v>
      </c>
      <c r="D81" s="143">
        <v>0</v>
      </c>
      <c r="E81" s="143">
        <v>344.84</v>
      </c>
      <c r="F81" s="143">
        <v>152.96</v>
      </c>
      <c r="G81" s="143">
        <f t="shared" si="1"/>
        <v>1483.07</v>
      </c>
      <c r="H81" s="143" t="s">
        <v>83</v>
      </c>
      <c r="I81" s="201"/>
    </row>
    <row r="82" spans="2:9">
      <c r="B82" s="141">
        <v>78</v>
      </c>
      <c r="C82" s="143">
        <v>1122.21</v>
      </c>
      <c r="D82" s="143">
        <v>0</v>
      </c>
      <c r="E82" s="143">
        <v>0</v>
      </c>
      <c r="F82" s="143">
        <v>0</v>
      </c>
      <c r="G82" s="143">
        <f t="shared" si="1"/>
        <v>1122.21</v>
      </c>
      <c r="H82" s="143" t="s">
        <v>84</v>
      </c>
      <c r="I82" s="201"/>
    </row>
    <row r="83" spans="2:9">
      <c r="B83" s="141">
        <v>79</v>
      </c>
      <c r="C83" s="143">
        <v>24778.87</v>
      </c>
      <c r="D83" s="143">
        <v>3345.14</v>
      </c>
      <c r="E83" s="143">
        <v>8672.6</v>
      </c>
      <c r="F83" s="143">
        <v>4231.6099999999997</v>
      </c>
      <c r="G83" s="143">
        <f t="shared" si="1"/>
        <v>41028.22</v>
      </c>
      <c r="H83" s="143" t="s">
        <v>83</v>
      </c>
      <c r="I83" s="201"/>
    </row>
    <row r="84" spans="2:9">
      <c r="B84" s="141">
        <v>80</v>
      </c>
      <c r="C84" s="143">
        <v>23671.18</v>
      </c>
      <c r="D84" s="143">
        <v>3195.6</v>
      </c>
      <c r="E84" s="143">
        <v>8284.91</v>
      </c>
      <c r="F84" s="143">
        <v>4042.44</v>
      </c>
      <c r="G84" s="143">
        <f t="shared" si="1"/>
        <v>39194.130000000005</v>
      </c>
      <c r="H84" s="143" t="s">
        <v>83</v>
      </c>
      <c r="I84" s="201"/>
    </row>
    <row r="85" spans="2:9">
      <c r="B85" s="141">
        <v>81</v>
      </c>
      <c r="C85" s="142">
        <v>4317.1099999999997</v>
      </c>
      <c r="D85" s="143">
        <v>0</v>
      </c>
      <c r="E85" s="142">
        <v>431.71</v>
      </c>
      <c r="F85" s="142">
        <v>546.11</v>
      </c>
      <c r="G85" s="143">
        <f t="shared" si="1"/>
        <v>5294.9299999999994</v>
      </c>
      <c r="H85" s="143" t="s">
        <v>97</v>
      </c>
      <c r="I85" s="201"/>
    </row>
    <row r="86" spans="2:9">
      <c r="B86" s="141">
        <v>82</v>
      </c>
      <c r="C86" s="143">
        <v>323.56</v>
      </c>
      <c r="D86" s="143">
        <v>0</v>
      </c>
      <c r="E86" s="143">
        <v>16.170000000000002</v>
      </c>
      <c r="F86" s="143"/>
      <c r="G86" s="143">
        <f t="shared" si="1"/>
        <v>339.73</v>
      </c>
      <c r="H86" s="143" t="s">
        <v>83</v>
      </c>
      <c r="I86" s="201"/>
    </row>
    <row r="87" spans="2:9">
      <c r="B87" s="141">
        <v>83</v>
      </c>
      <c r="C87" s="143">
        <v>606.24</v>
      </c>
      <c r="D87" s="143">
        <v>0</v>
      </c>
      <c r="E87" s="143">
        <v>60.62</v>
      </c>
      <c r="F87" s="143">
        <v>76.680000000000007</v>
      </c>
      <c r="G87" s="143">
        <f t="shared" si="1"/>
        <v>743.54</v>
      </c>
      <c r="H87" s="143" t="s">
        <v>83</v>
      </c>
      <c r="I87" s="201"/>
    </row>
    <row r="88" spans="2:9">
      <c r="B88" s="141">
        <v>84</v>
      </c>
      <c r="C88" s="143">
        <v>3451.49</v>
      </c>
      <c r="D88" s="143">
        <v>0</v>
      </c>
      <c r="E88" s="143">
        <v>1208.02</v>
      </c>
      <c r="F88" s="143">
        <v>535.84</v>
      </c>
      <c r="G88" s="143">
        <f t="shared" si="1"/>
        <v>5195.3500000000004</v>
      </c>
      <c r="H88" s="143" t="s">
        <v>83</v>
      </c>
      <c r="I88" s="201"/>
    </row>
    <row r="89" spans="2:9">
      <c r="B89" s="141">
        <v>85</v>
      </c>
      <c r="C89" s="143">
        <v>3550.57</v>
      </c>
      <c r="D89" s="143">
        <v>0</v>
      </c>
      <c r="E89" s="143">
        <v>710.11</v>
      </c>
      <c r="F89" s="143">
        <v>489.97</v>
      </c>
      <c r="G89" s="143">
        <f t="shared" si="1"/>
        <v>4750.6500000000005</v>
      </c>
      <c r="H89" s="143" t="s">
        <v>83</v>
      </c>
      <c r="I89" s="201"/>
    </row>
    <row r="90" spans="2:9">
      <c r="B90" s="141">
        <v>86</v>
      </c>
      <c r="C90" s="143">
        <v>3060.67</v>
      </c>
      <c r="D90" s="143">
        <v>0</v>
      </c>
      <c r="E90" s="143">
        <v>918.2</v>
      </c>
      <c r="F90" s="143">
        <v>457.57</v>
      </c>
      <c r="G90" s="143">
        <f t="shared" si="1"/>
        <v>4436.4399999999996</v>
      </c>
      <c r="H90" s="143" t="s">
        <v>83</v>
      </c>
      <c r="I90" s="201"/>
    </row>
    <row r="91" spans="2:9">
      <c r="B91" s="141">
        <v>87</v>
      </c>
      <c r="C91" s="143">
        <v>1713.93</v>
      </c>
      <c r="D91" s="143">
        <v>0</v>
      </c>
      <c r="E91" s="143">
        <v>171.39</v>
      </c>
      <c r="F91" s="143">
        <v>216.81</v>
      </c>
      <c r="G91" s="143">
        <f t="shared" si="1"/>
        <v>2102.13</v>
      </c>
      <c r="H91" s="143" t="s">
        <v>83</v>
      </c>
      <c r="I91" s="201"/>
    </row>
    <row r="92" spans="2:9">
      <c r="B92" s="141">
        <v>88</v>
      </c>
      <c r="C92" s="143">
        <v>517.6</v>
      </c>
      <c r="D92" s="143">
        <v>0</v>
      </c>
      <c r="E92" s="143">
        <v>51.76</v>
      </c>
      <c r="F92" s="143">
        <v>65.47</v>
      </c>
      <c r="G92" s="143">
        <f t="shared" si="1"/>
        <v>634.83000000000004</v>
      </c>
      <c r="H92" s="143" t="s">
        <v>83</v>
      </c>
      <c r="I92" s="201"/>
    </row>
    <row r="93" spans="2:9">
      <c r="B93" s="141">
        <v>89</v>
      </c>
      <c r="C93" s="143">
        <v>5181.91</v>
      </c>
      <c r="D93" s="143">
        <v>0</v>
      </c>
      <c r="E93" s="143">
        <v>518.19000000000005</v>
      </c>
      <c r="F93" s="143">
        <v>655.51</v>
      </c>
      <c r="G93" s="143">
        <f t="shared" si="1"/>
        <v>6355.6100000000006</v>
      </c>
      <c r="H93" s="143" t="s">
        <v>83</v>
      </c>
      <c r="I93" s="201"/>
    </row>
    <row r="94" spans="2:9">
      <c r="B94" s="141">
        <v>90</v>
      </c>
      <c r="C94" s="143">
        <v>65.02</v>
      </c>
      <c r="D94" s="143">
        <v>0</v>
      </c>
      <c r="E94" s="143">
        <v>3.25</v>
      </c>
      <c r="F94" s="143">
        <v>0</v>
      </c>
      <c r="G94" s="143">
        <f t="shared" si="1"/>
        <v>68.27</v>
      </c>
      <c r="H94" s="143" t="s">
        <v>83</v>
      </c>
      <c r="I94" s="201"/>
    </row>
    <row r="95" spans="2:9" ht="15.75" thickBot="1">
      <c r="B95" s="145"/>
      <c r="C95" s="202">
        <f>SUM(C5:C94)</f>
        <v>940401.88000000047</v>
      </c>
      <c r="D95" s="202">
        <f t="shared" ref="D95:G95" si="2">SUM(D5:D94)</f>
        <v>10340.120000000001</v>
      </c>
      <c r="E95" s="202">
        <f t="shared" si="2"/>
        <v>139115.01</v>
      </c>
      <c r="F95" s="202">
        <f t="shared" si="2"/>
        <v>93297.880000000048</v>
      </c>
      <c r="G95" s="202">
        <f t="shared" si="2"/>
        <v>1183154.8900000001</v>
      </c>
      <c r="H95" s="203"/>
      <c r="I95" s="204"/>
    </row>
    <row r="96" spans="2:9">
      <c r="B96" s="119"/>
      <c r="C96" s="119"/>
      <c r="D96" s="119"/>
      <c r="E96" s="119"/>
      <c r="F96" s="119"/>
      <c r="G96" s="119"/>
      <c r="H96" s="120"/>
      <c r="I96" s="119"/>
    </row>
  </sheetData>
  <mergeCells count="2">
    <mergeCell ref="C2:E2"/>
    <mergeCell ref="G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U39"/>
  <sheetViews>
    <sheetView workbookViewId="0">
      <selection activeCell="D42" sqref="D42"/>
    </sheetView>
  </sheetViews>
  <sheetFormatPr defaultRowHeight="15"/>
  <cols>
    <col min="1" max="1" width="4.140625" style="6" customWidth="1"/>
    <col min="2" max="2" width="23.28515625" customWidth="1"/>
    <col min="3" max="3" width="11.5703125" style="7" bestFit="1" customWidth="1"/>
    <col min="4" max="4" width="15.42578125" style="8" customWidth="1"/>
    <col min="5" max="5" width="13.85546875" style="8" customWidth="1"/>
    <col min="6" max="6" width="13.28515625" style="39" customWidth="1"/>
    <col min="7" max="7" width="14.5703125" style="6" bestFit="1" customWidth="1"/>
    <col min="8" max="8" width="9.7109375" style="6" customWidth="1"/>
    <col min="9" max="9" width="14.5703125" style="6" bestFit="1" customWidth="1"/>
    <col min="10" max="10" width="12.28515625" style="8" customWidth="1"/>
    <col min="11" max="11" width="11.5703125" style="8" bestFit="1" customWidth="1"/>
    <col min="12" max="12" width="13.28515625" bestFit="1" customWidth="1"/>
    <col min="13" max="13" width="14.5703125" style="8" customWidth="1"/>
    <col min="14" max="14" width="16.28515625" style="8" customWidth="1"/>
    <col min="15" max="15" width="11.42578125" style="8" customWidth="1"/>
    <col min="16" max="16" width="10.42578125" customWidth="1"/>
    <col min="17" max="17" width="11.5703125" style="9" bestFit="1" customWidth="1"/>
    <col min="18" max="19" width="6.140625" style="6" bestFit="1" customWidth="1"/>
    <col min="20" max="20" width="14.5703125" style="10" bestFit="1" customWidth="1"/>
    <col min="21" max="21" width="14.5703125" style="8" bestFit="1" customWidth="1"/>
  </cols>
  <sheetData>
    <row r="2" spans="1:21" s="2" customFormat="1" ht="16.5" thickBot="1">
      <c r="A2" s="1"/>
      <c r="C2" s="174" t="s">
        <v>30</v>
      </c>
      <c r="D2" s="174"/>
      <c r="E2" s="174"/>
      <c r="F2" s="61"/>
      <c r="G2" s="175"/>
      <c r="H2" s="175"/>
      <c r="I2" s="175"/>
      <c r="J2" s="175"/>
      <c r="K2" s="175"/>
      <c r="M2" s="3"/>
      <c r="N2" s="3"/>
      <c r="O2" s="3"/>
      <c r="Q2" s="4"/>
      <c r="R2" s="1"/>
      <c r="S2" s="1"/>
      <c r="T2" s="5"/>
      <c r="U2" s="3"/>
    </row>
    <row r="3" spans="1:21" ht="15.75" thickBot="1">
      <c r="C3" s="8"/>
      <c r="E3" s="6"/>
      <c r="I3" s="8"/>
      <c r="K3"/>
      <c r="L3" s="8"/>
      <c r="O3"/>
      <c r="P3" s="9"/>
      <c r="Q3" s="6"/>
      <c r="S3" s="10"/>
      <c r="T3" s="8"/>
      <c r="U3"/>
    </row>
    <row r="4" spans="1:21" s="18" customFormat="1" ht="13.5" thickBot="1">
      <c r="A4" s="11" t="s">
        <v>0</v>
      </c>
      <c r="B4" s="12" t="s">
        <v>1</v>
      </c>
      <c r="C4" s="13" t="s">
        <v>2</v>
      </c>
      <c r="D4" s="14" t="s">
        <v>32</v>
      </c>
      <c r="E4" s="15" t="s">
        <v>34</v>
      </c>
      <c r="F4" s="16"/>
      <c r="G4" s="17"/>
      <c r="J4" s="19"/>
      <c r="K4" s="20"/>
    </row>
    <row r="5" spans="1:21" ht="15.75">
      <c r="A5" s="21">
        <v>1</v>
      </c>
      <c r="B5" s="60" t="s">
        <v>45</v>
      </c>
      <c r="C5" s="23">
        <v>98750</v>
      </c>
      <c r="D5" s="67"/>
      <c r="E5" s="69">
        <f>D33</f>
        <v>3064016.1850000001</v>
      </c>
      <c r="F5" s="26"/>
      <c r="G5" s="9"/>
      <c r="J5" s="10"/>
      <c r="M5"/>
      <c r="N5"/>
      <c r="O5"/>
      <c r="Q5"/>
      <c r="R5"/>
      <c r="S5"/>
      <c r="T5"/>
      <c r="U5"/>
    </row>
    <row r="6" spans="1:21" ht="15.75">
      <c r="A6" s="21">
        <v>2</v>
      </c>
      <c r="B6" s="60"/>
      <c r="C6" s="23"/>
      <c r="D6" s="64"/>
      <c r="E6" s="25"/>
      <c r="F6" s="26"/>
      <c r="G6" s="9"/>
      <c r="J6" s="10"/>
      <c r="M6"/>
      <c r="N6"/>
      <c r="O6"/>
      <c r="Q6"/>
      <c r="R6"/>
      <c r="S6"/>
      <c r="T6"/>
      <c r="U6"/>
    </row>
    <row r="7" spans="1:21">
      <c r="A7" s="21">
        <v>3</v>
      </c>
      <c r="B7" s="22"/>
      <c r="C7" s="23"/>
      <c r="D7" s="64"/>
      <c r="E7" s="25"/>
      <c r="F7" s="26"/>
      <c r="G7" s="9"/>
      <c r="J7" s="10"/>
      <c r="M7"/>
      <c r="N7"/>
      <c r="O7"/>
      <c r="Q7"/>
      <c r="R7"/>
      <c r="S7"/>
      <c r="T7"/>
      <c r="U7"/>
    </row>
    <row r="8" spans="1:21">
      <c r="A8" s="21">
        <v>4</v>
      </c>
      <c r="B8" s="22"/>
      <c r="C8" s="23"/>
      <c r="D8" s="64"/>
      <c r="E8" s="25"/>
      <c r="F8" s="26"/>
      <c r="G8" s="9"/>
      <c r="J8" s="10"/>
      <c r="M8"/>
      <c r="N8"/>
      <c r="O8"/>
      <c r="Q8"/>
      <c r="R8"/>
      <c r="S8"/>
      <c r="T8"/>
      <c r="U8"/>
    </row>
    <row r="9" spans="1:21">
      <c r="A9" s="21">
        <v>5</v>
      </c>
      <c r="B9" s="22"/>
      <c r="C9" s="23"/>
      <c r="D9" s="64"/>
      <c r="E9" s="25"/>
      <c r="F9" s="26"/>
      <c r="G9" s="9"/>
      <c r="J9" s="10"/>
      <c r="M9"/>
      <c r="N9"/>
      <c r="O9"/>
      <c r="Q9"/>
      <c r="R9"/>
      <c r="S9"/>
      <c r="T9"/>
      <c r="U9"/>
    </row>
    <row r="10" spans="1:21">
      <c r="A10" s="21">
        <v>6</v>
      </c>
      <c r="B10" s="22"/>
      <c r="C10" s="23"/>
      <c r="D10" s="64"/>
      <c r="E10" s="25"/>
      <c r="F10" s="26"/>
      <c r="G10" s="9"/>
      <c r="J10" s="10"/>
      <c r="M10"/>
      <c r="N10"/>
      <c r="O10"/>
      <c r="Q10"/>
      <c r="R10"/>
      <c r="S10"/>
      <c r="T10"/>
      <c r="U10"/>
    </row>
    <row r="11" spans="1:21">
      <c r="A11" s="21">
        <v>7</v>
      </c>
      <c r="B11" s="22"/>
      <c r="C11" s="23"/>
      <c r="D11" s="64"/>
      <c r="E11" s="25"/>
      <c r="F11" s="26"/>
      <c r="G11" s="9"/>
      <c r="J11" s="10"/>
      <c r="M11"/>
      <c r="N11"/>
      <c r="O11"/>
      <c r="Q11"/>
      <c r="R11"/>
      <c r="S11"/>
      <c r="T11"/>
      <c r="U11"/>
    </row>
    <row r="12" spans="1:21" s="37" customFormat="1" ht="12.75" thickBot="1">
      <c r="A12" s="27"/>
      <c r="B12" s="28"/>
      <c r="C12" s="29"/>
      <c r="D12" s="68">
        <f>SUM(D5:D11)</f>
        <v>0</v>
      </c>
      <c r="E12" s="31"/>
      <c r="F12" s="32"/>
      <c r="G12" s="33"/>
      <c r="H12" s="34"/>
      <c r="I12" s="34"/>
      <c r="J12" s="35"/>
      <c r="K12" s="36"/>
    </row>
    <row r="14" spans="1:21">
      <c r="M14" s="58"/>
      <c r="N14" s="59"/>
      <c r="P14" s="38"/>
    </row>
    <row r="15" spans="1:21">
      <c r="M15" s="58"/>
      <c r="N15" s="59"/>
      <c r="P15" s="38"/>
    </row>
    <row r="16" spans="1:21" s="8" customFormat="1" ht="15.75" thickBot="1">
      <c r="A16" s="6"/>
      <c r="B16"/>
      <c r="C16" s="7"/>
      <c r="F16" s="39"/>
      <c r="G16" s="6"/>
      <c r="H16" s="6"/>
      <c r="I16" s="6"/>
      <c r="L16" s="38"/>
      <c r="M16" s="59"/>
      <c r="N16" s="59"/>
      <c r="P16"/>
      <c r="Q16" s="9"/>
      <c r="R16" s="39"/>
      <c r="S16" s="39"/>
      <c r="T16" s="10"/>
    </row>
    <row r="17" spans="1:21" ht="15.75" thickBot="1">
      <c r="B17" s="176" t="s">
        <v>9</v>
      </c>
      <c r="C17" s="177"/>
      <c r="D17" s="177"/>
      <c r="E17" s="178"/>
      <c r="G17" s="73"/>
      <c r="H17" s="73"/>
      <c r="I17" s="73"/>
      <c r="J17" s="59"/>
      <c r="L17" s="38"/>
    </row>
    <row r="18" spans="1:21" s="43" customFormat="1" ht="15.75" thickBot="1">
      <c r="A18" s="40" t="s">
        <v>10</v>
      </c>
      <c r="B18" s="179" t="s">
        <v>11</v>
      </c>
      <c r="C18" s="180"/>
      <c r="D18" s="181" t="s">
        <v>12</v>
      </c>
      <c r="E18" s="180"/>
      <c r="F18" s="62"/>
      <c r="G18" s="74"/>
      <c r="H18" s="74"/>
      <c r="I18" s="75"/>
      <c r="J18" s="75"/>
      <c r="K18" s="42"/>
      <c r="L18" s="42"/>
      <c r="M18" s="42"/>
      <c r="N18" s="42"/>
      <c r="Q18" s="44"/>
      <c r="R18" s="41"/>
      <c r="S18" s="41"/>
      <c r="T18" s="45"/>
      <c r="U18" s="46"/>
    </row>
    <row r="19" spans="1:21" s="49" customFormat="1" ht="16.5">
      <c r="A19" s="47">
        <v>1</v>
      </c>
      <c r="B19" s="154" t="s">
        <v>14</v>
      </c>
      <c r="C19" s="155"/>
      <c r="D19" s="156">
        <f>98750*27.8297</f>
        <v>2748182.875</v>
      </c>
      <c r="E19" s="157"/>
      <c r="F19" s="63"/>
      <c r="G19" s="76"/>
      <c r="H19" s="76"/>
      <c r="I19" s="76"/>
      <c r="J19" s="76"/>
      <c r="K19" s="42"/>
      <c r="L19" s="42"/>
      <c r="M19" s="42"/>
      <c r="N19" s="42"/>
      <c r="Q19" s="50"/>
      <c r="R19" s="48"/>
      <c r="S19" s="48"/>
      <c r="T19" s="51"/>
      <c r="U19" s="52"/>
    </row>
    <row r="20" spans="1:21" s="49" customFormat="1" ht="16.5">
      <c r="A20" s="53">
        <v>2</v>
      </c>
      <c r="B20" s="170" t="s">
        <v>15</v>
      </c>
      <c r="C20" s="171"/>
      <c r="D20" s="172">
        <v>303820</v>
      </c>
      <c r="E20" s="173"/>
      <c r="F20" s="63"/>
      <c r="G20" s="76"/>
      <c r="H20" s="76"/>
      <c r="I20" s="76"/>
      <c r="J20" s="76"/>
      <c r="K20" s="42"/>
      <c r="L20" s="42"/>
      <c r="M20" s="42"/>
      <c r="N20" s="42"/>
      <c r="Q20" s="50"/>
      <c r="R20" s="48"/>
      <c r="S20" s="48"/>
      <c r="T20" s="51"/>
      <c r="U20" s="52"/>
    </row>
    <row r="21" spans="1:21" s="49" customFormat="1" ht="16.5">
      <c r="A21" s="53">
        <v>3</v>
      </c>
      <c r="B21" s="170" t="s">
        <v>16</v>
      </c>
      <c r="C21" s="171"/>
      <c r="D21" s="172">
        <v>1531</v>
      </c>
      <c r="E21" s="173"/>
      <c r="F21" s="63"/>
      <c r="G21" s="76"/>
      <c r="H21" s="76"/>
      <c r="I21" s="76"/>
      <c r="J21" s="76"/>
      <c r="K21" s="42"/>
      <c r="L21" s="42"/>
      <c r="M21" s="42"/>
      <c r="N21" s="42"/>
      <c r="Q21" s="50"/>
      <c r="R21" s="48"/>
      <c r="S21" s="48"/>
      <c r="T21" s="51"/>
      <c r="U21" s="52"/>
    </row>
    <row r="22" spans="1:21" s="49" customFormat="1" ht="16.5">
      <c r="A22" s="53">
        <v>4</v>
      </c>
      <c r="B22" s="170" t="s">
        <v>13</v>
      </c>
      <c r="C22" s="171"/>
      <c r="D22" s="172">
        <f>I30</f>
        <v>0</v>
      </c>
      <c r="E22" s="173"/>
      <c r="F22" s="63"/>
      <c r="G22" s="76"/>
      <c r="H22" s="76"/>
      <c r="I22" s="76"/>
      <c r="J22" s="76"/>
      <c r="K22" s="42"/>
      <c r="L22" s="42"/>
      <c r="M22" s="42"/>
      <c r="N22" s="42"/>
      <c r="Q22" s="50"/>
      <c r="R22" s="48"/>
      <c r="S22" s="48"/>
      <c r="T22" s="51"/>
      <c r="U22" s="52"/>
    </row>
    <row r="23" spans="1:21" s="49" customFormat="1" ht="16.5">
      <c r="A23" s="53">
        <v>5</v>
      </c>
      <c r="B23" s="170" t="s">
        <v>24</v>
      </c>
      <c r="C23" s="171"/>
      <c r="D23" s="172">
        <v>0</v>
      </c>
      <c r="E23" s="173"/>
      <c r="F23" s="63"/>
      <c r="G23" s="76"/>
      <c r="H23" s="76"/>
      <c r="I23" s="76"/>
      <c r="J23" s="76"/>
      <c r="K23" s="42"/>
      <c r="L23" s="42"/>
      <c r="M23" s="42"/>
      <c r="N23" s="42"/>
      <c r="Q23" s="50"/>
      <c r="R23" s="48"/>
      <c r="S23" s="48"/>
      <c r="T23" s="51"/>
      <c r="U23" s="52"/>
    </row>
    <row r="24" spans="1:21" s="49" customFormat="1" ht="16.5">
      <c r="A24" s="53">
        <v>6</v>
      </c>
      <c r="B24" s="170" t="s">
        <v>17</v>
      </c>
      <c r="C24" s="171"/>
      <c r="D24" s="172">
        <v>0</v>
      </c>
      <c r="E24" s="173"/>
      <c r="F24" s="63"/>
      <c r="G24" s="76"/>
      <c r="H24" s="76"/>
      <c r="I24" s="76"/>
      <c r="J24" s="76"/>
      <c r="K24" s="42"/>
      <c r="L24" s="42"/>
      <c r="M24" s="42"/>
      <c r="N24" s="42"/>
      <c r="Q24" s="50"/>
      <c r="R24" s="48"/>
      <c r="S24" s="48"/>
      <c r="T24" s="51"/>
      <c r="U24" s="52"/>
    </row>
    <row r="25" spans="1:21" s="49" customFormat="1" ht="16.5">
      <c r="A25" s="53">
        <v>7</v>
      </c>
      <c r="B25" s="170" t="s">
        <v>18</v>
      </c>
      <c r="C25" s="171"/>
      <c r="D25" s="172"/>
      <c r="E25" s="173"/>
      <c r="F25" s="63"/>
      <c r="G25" s="76"/>
      <c r="H25" s="76"/>
      <c r="I25" s="76"/>
      <c r="J25" s="76"/>
      <c r="K25" s="42"/>
      <c r="L25" s="42"/>
      <c r="M25" s="42"/>
      <c r="N25" s="42"/>
      <c r="Q25" s="50"/>
      <c r="R25" s="48"/>
      <c r="S25" s="48"/>
      <c r="T25" s="51"/>
      <c r="U25" s="52"/>
    </row>
    <row r="26" spans="1:21" s="49" customFormat="1" ht="16.5">
      <c r="A26" s="53">
        <v>8</v>
      </c>
      <c r="B26" s="158" t="s">
        <v>19</v>
      </c>
      <c r="C26" s="159"/>
      <c r="D26" s="168"/>
      <c r="E26" s="169"/>
      <c r="F26" s="63"/>
      <c r="G26" s="77"/>
      <c r="H26" s="77"/>
      <c r="I26" s="77"/>
      <c r="J26" s="77"/>
      <c r="K26" s="42"/>
      <c r="L26" s="42"/>
      <c r="M26" s="42"/>
      <c r="N26" s="42"/>
      <c r="Q26" s="50"/>
      <c r="R26" s="48"/>
      <c r="S26" s="48"/>
      <c r="T26" s="51"/>
      <c r="U26" s="52"/>
    </row>
    <row r="27" spans="1:21" s="49" customFormat="1" ht="16.5">
      <c r="A27" s="54">
        <v>9</v>
      </c>
      <c r="B27" s="166" t="s">
        <v>20</v>
      </c>
      <c r="C27" s="167"/>
      <c r="D27" s="168">
        <v>8339</v>
      </c>
      <c r="E27" s="169"/>
      <c r="F27" s="63"/>
      <c r="G27" s="77"/>
      <c r="H27" s="77"/>
      <c r="I27" s="77"/>
      <c r="J27" s="77"/>
      <c r="K27" s="42"/>
      <c r="L27" s="42"/>
      <c r="M27" s="42"/>
      <c r="N27" s="42"/>
      <c r="Q27" s="50"/>
      <c r="R27" s="48"/>
      <c r="S27" s="48"/>
      <c r="T27" s="51"/>
      <c r="U27" s="52"/>
    </row>
    <row r="28" spans="1:21" s="49" customFormat="1" ht="16.5">
      <c r="A28" s="54">
        <v>10</v>
      </c>
      <c r="B28" s="166" t="s">
        <v>25</v>
      </c>
      <c r="C28" s="167"/>
      <c r="D28" s="168">
        <v>2143.31</v>
      </c>
      <c r="E28" s="169"/>
      <c r="F28" s="63"/>
      <c r="G28" s="77"/>
      <c r="H28" s="77"/>
      <c r="I28" s="77"/>
      <c r="J28" s="77"/>
      <c r="K28" s="42"/>
      <c r="L28" s="42"/>
      <c r="M28" s="42"/>
      <c r="N28" s="42"/>
      <c r="Q28" s="50"/>
      <c r="R28" s="48"/>
      <c r="S28" s="48"/>
      <c r="T28" s="51"/>
      <c r="U28" s="52"/>
    </row>
    <row r="29" spans="1:21" s="49" customFormat="1" ht="17.25" thickBot="1">
      <c r="A29" s="54">
        <v>11</v>
      </c>
      <c r="B29" s="158" t="s">
        <v>21</v>
      </c>
      <c r="C29" s="159"/>
      <c r="D29" s="160"/>
      <c r="E29" s="161"/>
      <c r="F29" s="63"/>
      <c r="G29" s="77"/>
      <c r="H29" s="77"/>
      <c r="I29" s="77"/>
      <c r="J29" s="77"/>
      <c r="K29" s="42"/>
      <c r="L29" s="42"/>
      <c r="M29" s="42"/>
      <c r="N29" s="42"/>
      <c r="Q29" s="50"/>
      <c r="R29" s="48"/>
      <c r="S29" s="48"/>
      <c r="T29" s="51"/>
      <c r="U29" s="52"/>
    </row>
    <row r="30" spans="1:21" s="49" customFormat="1" ht="17.25" thickBot="1">
      <c r="A30" s="55"/>
      <c r="B30" s="162" t="s">
        <v>22</v>
      </c>
      <c r="C30" s="163"/>
      <c r="D30" s="164">
        <f>SUM(D19:D29)</f>
        <v>3064016.1850000001</v>
      </c>
      <c r="E30" s="165"/>
      <c r="F30" s="63"/>
      <c r="G30" s="76"/>
      <c r="H30" s="76"/>
      <c r="I30" s="78"/>
      <c r="J30" s="78"/>
      <c r="K30" s="42"/>
      <c r="L30" s="42"/>
      <c r="M30" s="42"/>
      <c r="N30" s="42"/>
      <c r="O30" s="52"/>
      <c r="Q30" s="50"/>
      <c r="R30" s="48"/>
      <c r="S30" s="48"/>
      <c r="T30" s="51"/>
      <c r="U30" s="52"/>
    </row>
    <row r="31" spans="1:21" s="49" customFormat="1" ht="15.75">
      <c r="A31" s="47">
        <v>10</v>
      </c>
      <c r="B31" s="154" t="s">
        <v>8</v>
      </c>
      <c r="C31" s="155"/>
      <c r="D31" s="156">
        <v>0</v>
      </c>
      <c r="E31" s="157"/>
      <c r="F31" s="63"/>
      <c r="G31" s="114"/>
      <c r="H31" s="114"/>
      <c r="I31" s="114"/>
      <c r="J31" s="115"/>
      <c r="K31" s="52"/>
      <c r="M31" s="52"/>
      <c r="N31" s="52"/>
      <c r="O31" s="52"/>
      <c r="Q31" s="50"/>
      <c r="R31" s="48"/>
      <c r="S31" s="48"/>
      <c r="T31" s="51"/>
      <c r="U31" s="52"/>
    </row>
    <row r="32" spans="1:21" s="49" customFormat="1" ht="16.5" thickBot="1">
      <c r="A32" s="54">
        <v>11</v>
      </c>
      <c r="B32" s="158" t="s">
        <v>23</v>
      </c>
      <c r="C32" s="159"/>
      <c r="D32" s="160">
        <v>0</v>
      </c>
      <c r="E32" s="161"/>
      <c r="F32" s="63"/>
      <c r="G32" s="48"/>
      <c r="H32" s="48"/>
      <c r="I32" s="48"/>
      <c r="J32" s="52"/>
      <c r="K32" s="52"/>
      <c r="M32" s="52"/>
      <c r="N32" s="52"/>
      <c r="O32" s="52"/>
      <c r="Q32" s="50"/>
      <c r="R32" s="48"/>
      <c r="S32" s="48"/>
      <c r="T32" s="51"/>
      <c r="U32" s="52"/>
    </row>
    <row r="33" spans="1:21" s="49" customFormat="1" ht="17.25" thickBot="1">
      <c r="A33" s="55"/>
      <c r="B33" s="162" t="s">
        <v>22</v>
      </c>
      <c r="C33" s="163"/>
      <c r="D33" s="164">
        <f>SUM(D30:D32)</f>
        <v>3064016.1850000001</v>
      </c>
      <c r="E33" s="165"/>
      <c r="F33" s="63"/>
      <c r="G33" s="48"/>
      <c r="H33" s="48"/>
      <c r="I33" s="66"/>
      <c r="J33" s="52"/>
      <c r="K33" s="52"/>
      <c r="M33" s="52"/>
      <c r="N33" s="52"/>
      <c r="O33" s="52"/>
      <c r="Q33" s="50"/>
      <c r="R33" s="48"/>
      <c r="S33" s="48"/>
      <c r="T33" s="51"/>
      <c r="U33" s="52"/>
    </row>
    <row r="34" spans="1:21">
      <c r="D34" s="153"/>
      <c r="E34" s="153"/>
      <c r="M34" s="56"/>
    </row>
    <row r="35" spans="1:21" ht="15.75" thickBot="1">
      <c r="D35" s="57"/>
      <c r="E35" s="57"/>
      <c r="F35" s="95"/>
      <c r="G35" s="96"/>
      <c r="M35" s="56"/>
    </row>
    <row r="36" spans="1:21">
      <c r="C36" s="116" t="s">
        <v>46</v>
      </c>
      <c r="D36" s="99"/>
      <c r="E36" s="94">
        <v>5979.6</v>
      </c>
      <c r="F36" s="94">
        <v>27.829699999999999</v>
      </c>
      <c r="G36" s="100">
        <f>E36*F36</f>
        <v>166410.47412</v>
      </c>
    </row>
    <row r="37" spans="1:21" ht="17.25">
      <c r="C37" s="101" t="s">
        <v>47</v>
      </c>
      <c r="D37" s="59"/>
      <c r="E37" s="59"/>
      <c r="F37" s="57"/>
      <c r="G37" s="108">
        <v>303820</v>
      </c>
    </row>
    <row r="38" spans="1:21">
      <c r="C38" s="101"/>
      <c r="D38" s="59"/>
      <c r="E38" s="59"/>
      <c r="F38" s="57"/>
      <c r="G38" s="103"/>
    </row>
    <row r="39" spans="1:21" ht="15.75" thickBot="1">
      <c r="C39" s="117" t="s">
        <v>48</v>
      </c>
      <c r="D39" s="105"/>
      <c r="E39" s="105"/>
      <c r="F39" s="106"/>
      <c r="G39" s="107">
        <f>G37-G36</f>
        <v>137409.52588</v>
      </c>
    </row>
  </sheetData>
  <mergeCells count="36">
    <mergeCell ref="C2:E2"/>
    <mergeCell ref="G2:K2"/>
    <mergeCell ref="B17:E17"/>
    <mergeCell ref="B18:C18"/>
    <mergeCell ref="D18:E18"/>
    <mergeCell ref="B21:C21"/>
    <mergeCell ref="D21:E21"/>
    <mergeCell ref="B22:C22"/>
    <mergeCell ref="D22:E22"/>
    <mergeCell ref="B19:C19"/>
    <mergeCell ref="D19:E19"/>
    <mergeCell ref="B20:C20"/>
    <mergeCell ref="D20:E20"/>
    <mergeCell ref="B25:C25"/>
    <mergeCell ref="D25:E25"/>
    <mergeCell ref="B26:C26"/>
    <mergeCell ref="D26:E26"/>
    <mergeCell ref="B23:C23"/>
    <mergeCell ref="D23:E23"/>
    <mergeCell ref="B24:C24"/>
    <mergeCell ref="D24:E24"/>
    <mergeCell ref="B29:C29"/>
    <mergeCell ref="D29:E29"/>
    <mergeCell ref="B30:C30"/>
    <mergeCell ref="D30:E30"/>
    <mergeCell ref="B27:C27"/>
    <mergeCell ref="D27:E27"/>
    <mergeCell ref="B28:C28"/>
    <mergeCell ref="D28:E28"/>
    <mergeCell ref="D34:E34"/>
    <mergeCell ref="B31:C31"/>
    <mergeCell ref="D31:E31"/>
    <mergeCell ref="B32:C32"/>
    <mergeCell ref="D32:E32"/>
    <mergeCell ref="B33:C33"/>
    <mergeCell ref="D33:E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V36"/>
  <sheetViews>
    <sheetView topLeftCell="A4" workbookViewId="0">
      <selection activeCell="G24" sqref="G24:K27"/>
    </sheetView>
  </sheetViews>
  <sheetFormatPr defaultRowHeight="15"/>
  <cols>
    <col min="1" max="1" width="4.140625" style="6" customWidth="1"/>
    <col min="2" max="2" width="23.28515625" customWidth="1"/>
    <col min="3" max="3" width="11.5703125" style="7" bestFit="1" customWidth="1"/>
    <col min="4" max="4" width="15.42578125" style="8" customWidth="1"/>
    <col min="5" max="5" width="13.85546875" style="8" customWidth="1"/>
    <col min="6" max="6" width="14.28515625" style="39" bestFit="1" customWidth="1"/>
    <col min="7" max="7" width="17" style="39" customWidth="1"/>
    <col min="8" max="8" width="15.7109375" style="6" bestFit="1" customWidth="1"/>
    <col min="9" max="9" width="13.7109375" style="6" customWidth="1"/>
    <col min="10" max="10" width="16.5703125" style="6" bestFit="1" customWidth="1"/>
    <col min="11" max="11" width="13.140625" style="8" customWidth="1"/>
    <col min="12" max="12" width="11.5703125" style="8" bestFit="1" customWidth="1"/>
    <col min="13" max="13" width="13.28515625" bestFit="1" customWidth="1"/>
    <col min="14" max="14" width="14.5703125" style="8" customWidth="1"/>
    <col min="15" max="15" width="16.28515625" style="8" customWidth="1"/>
    <col min="16" max="16" width="11.42578125" style="8" customWidth="1"/>
    <col min="17" max="17" width="10.42578125" customWidth="1"/>
    <col min="18" max="18" width="11.5703125" style="9" bestFit="1" customWidth="1"/>
    <col min="19" max="20" width="6.140625" style="6" bestFit="1" customWidth="1"/>
    <col min="21" max="21" width="14.5703125" style="10" bestFit="1" customWidth="1"/>
    <col min="22" max="22" width="14.5703125" style="8" bestFit="1" customWidth="1"/>
  </cols>
  <sheetData>
    <row r="2" spans="1:22" s="2" customFormat="1" ht="16.5" thickBot="1">
      <c r="A2" s="1"/>
      <c r="C2" s="174" t="s">
        <v>35</v>
      </c>
      <c r="D2" s="174"/>
      <c r="E2" s="174"/>
      <c r="F2" s="61"/>
      <c r="G2" s="61"/>
      <c r="H2" s="175"/>
      <c r="I2" s="175"/>
      <c r="J2" s="175"/>
      <c r="K2" s="175"/>
      <c r="L2" s="175"/>
      <c r="N2" s="3"/>
      <c r="O2" s="3"/>
      <c r="P2" s="3"/>
      <c r="R2" s="4"/>
      <c r="S2" s="1"/>
      <c r="T2" s="1"/>
      <c r="U2" s="5"/>
      <c r="V2" s="3"/>
    </row>
    <row r="3" spans="1:22" ht="15.75" thickBot="1">
      <c r="C3" s="8"/>
      <c r="E3" s="6"/>
      <c r="J3" s="8"/>
      <c r="L3"/>
      <c r="M3" s="8"/>
      <c r="P3"/>
      <c r="Q3" s="9"/>
      <c r="R3" s="6"/>
      <c r="T3" s="10"/>
      <c r="U3" s="8"/>
      <c r="V3"/>
    </row>
    <row r="4" spans="1:22" s="18" customFormat="1" ht="13.5" thickBot="1">
      <c r="A4" s="11" t="s">
        <v>0</v>
      </c>
      <c r="B4" s="12" t="s">
        <v>1</v>
      </c>
      <c r="C4" s="12" t="s">
        <v>39</v>
      </c>
      <c r="D4" s="13" t="s">
        <v>2</v>
      </c>
      <c r="E4" s="13" t="s">
        <v>33</v>
      </c>
      <c r="F4" s="13" t="s">
        <v>40</v>
      </c>
      <c r="G4" s="71" t="s">
        <v>42</v>
      </c>
      <c r="H4" s="15" t="s">
        <v>34</v>
      </c>
      <c r="I4" s="15" t="s">
        <v>41</v>
      </c>
      <c r="J4" s="16"/>
      <c r="K4" s="17"/>
      <c r="N4" s="19"/>
      <c r="O4" s="20"/>
    </row>
    <row r="5" spans="1:22" ht="15.75">
      <c r="A5" s="21">
        <v>1</v>
      </c>
      <c r="B5" s="60" t="s">
        <v>36</v>
      </c>
      <c r="C5" s="70">
        <v>1</v>
      </c>
      <c r="D5" s="23">
        <v>149230.76999999999</v>
      </c>
      <c r="E5" s="23">
        <f>C5*D5</f>
        <v>149230.76999999999</v>
      </c>
      <c r="F5" s="25">
        <f>E5/E12</f>
        <v>0.3605948094622799</v>
      </c>
      <c r="G5" s="25">
        <f>I19</f>
        <v>3251.4625496945146</v>
      </c>
      <c r="H5" s="72">
        <f>(F5*D30)+G5</f>
        <v>4648197.1084663449</v>
      </c>
      <c r="I5" s="69">
        <f>H5/C5</f>
        <v>4648197.1084663449</v>
      </c>
      <c r="J5" s="26"/>
      <c r="K5" s="9"/>
      <c r="L5" s="6"/>
      <c r="M5" s="6"/>
      <c r="N5" s="10"/>
      <c r="P5"/>
      <c r="R5"/>
      <c r="S5"/>
      <c r="T5"/>
      <c r="U5"/>
      <c r="V5"/>
    </row>
    <row r="6" spans="1:22" ht="15.75">
      <c r="A6" s="21">
        <v>2</v>
      </c>
      <c r="B6" s="60" t="s">
        <v>37</v>
      </c>
      <c r="C6" s="70">
        <v>1</v>
      </c>
      <c r="D6" s="23">
        <v>49230.77</v>
      </c>
      <c r="E6" s="23">
        <f t="shared" ref="E6:E7" si="0">C6*D6</f>
        <v>49230.77</v>
      </c>
      <c r="F6" s="25">
        <f>E6/E12</f>
        <v>0.11895911364547221</v>
      </c>
      <c r="G6" s="25">
        <f>I20</f>
        <v>1072.6474503054849</v>
      </c>
      <c r="H6" s="25">
        <f>(F6*D30)+G6</f>
        <v>1533425.8662712229</v>
      </c>
      <c r="I6" s="69">
        <f t="shared" ref="I6:I7" si="1">H6/C6</f>
        <v>1533425.8662712229</v>
      </c>
      <c r="J6" s="26"/>
      <c r="K6" s="9"/>
      <c r="L6" s="6"/>
      <c r="M6" s="6"/>
      <c r="N6" s="10"/>
      <c r="P6"/>
      <c r="R6"/>
      <c r="S6"/>
      <c r="T6"/>
      <c r="U6"/>
      <c r="V6"/>
    </row>
    <row r="7" spans="1:22" ht="15.75">
      <c r="A7" s="21">
        <v>3</v>
      </c>
      <c r="B7" s="60" t="s">
        <v>38</v>
      </c>
      <c r="C7" s="70">
        <v>5</v>
      </c>
      <c r="D7" s="23">
        <v>43076.92</v>
      </c>
      <c r="E7" s="23">
        <f t="shared" si="0"/>
        <v>215384.59999999998</v>
      </c>
      <c r="F7" s="25">
        <f>E7/E12</f>
        <v>0.52044607689224798</v>
      </c>
      <c r="G7" s="25">
        <v>4692.83</v>
      </c>
      <c r="H7" s="25">
        <f>(F7*D30)+G7</f>
        <v>6708737.5787304342</v>
      </c>
      <c r="I7" s="69">
        <f t="shared" si="1"/>
        <v>1341747.5157460868</v>
      </c>
      <c r="J7" s="26"/>
      <c r="K7" s="9"/>
      <c r="L7" s="6"/>
      <c r="M7" s="6"/>
      <c r="N7" s="10"/>
      <c r="P7"/>
      <c r="R7"/>
      <c r="S7"/>
      <c r="T7"/>
      <c r="U7"/>
      <c r="V7"/>
    </row>
    <row r="8" spans="1:22" ht="15.75">
      <c r="A8" s="21">
        <v>4</v>
      </c>
      <c r="B8" s="60"/>
      <c r="C8" s="70"/>
      <c r="D8" s="23"/>
      <c r="E8" s="23"/>
      <c r="F8" s="25"/>
      <c r="G8" s="25"/>
      <c r="H8" s="25"/>
      <c r="I8" s="25"/>
      <c r="J8" s="26"/>
      <c r="K8" s="9"/>
      <c r="L8" s="6"/>
      <c r="M8" s="6"/>
      <c r="N8" s="10"/>
      <c r="P8"/>
      <c r="R8"/>
      <c r="S8"/>
      <c r="T8"/>
      <c r="U8"/>
      <c r="V8"/>
    </row>
    <row r="9" spans="1:22">
      <c r="A9" s="21">
        <v>5</v>
      </c>
      <c r="B9" s="22"/>
      <c r="C9" s="22"/>
      <c r="D9" s="23"/>
      <c r="E9" s="23"/>
      <c r="F9" s="25"/>
      <c r="G9" s="25"/>
      <c r="H9" s="25"/>
      <c r="I9" s="25"/>
      <c r="J9" s="26"/>
      <c r="K9" s="9"/>
      <c r="L9" s="6"/>
      <c r="M9" s="6"/>
      <c r="N9" s="10"/>
      <c r="P9"/>
      <c r="R9"/>
      <c r="S9"/>
      <c r="T9"/>
      <c r="U9"/>
      <c r="V9"/>
    </row>
    <row r="10" spans="1:22">
      <c r="A10" s="21">
        <v>6</v>
      </c>
      <c r="B10" s="22"/>
      <c r="C10" s="22"/>
      <c r="D10" s="23"/>
      <c r="E10" s="23"/>
      <c r="F10" s="25"/>
      <c r="G10" s="25"/>
      <c r="H10" s="25"/>
      <c r="I10" s="25"/>
      <c r="J10" s="26"/>
      <c r="K10" s="9"/>
      <c r="L10" s="6"/>
      <c r="M10" s="6"/>
      <c r="N10" s="10"/>
      <c r="P10"/>
      <c r="R10"/>
      <c r="S10"/>
      <c r="T10"/>
      <c r="U10"/>
      <c r="V10"/>
    </row>
    <row r="11" spans="1:22">
      <c r="A11" s="21">
        <v>7</v>
      </c>
      <c r="B11" s="22"/>
      <c r="C11" s="22"/>
      <c r="D11" s="23"/>
      <c r="E11" s="23"/>
      <c r="F11" s="25"/>
      <c r="G11" s="25"/>
      <c r="H11" s="25"/>
      <c r="I11" s="25"/>
      <c r="J11" s="26"/>
      <c r="K11" s="9"/>
      <c r="L11" s="6"/>
      <c r="M11" s="6"/>
      <c r="N11" s="10"/>
      <c r="P11"/>
      <c r="R11"/>
      <c r="S11"/>
      <c r="T11"/>
      <c r="U11"/>
      <c r="V11"/>
    </row>
    <row r="12" spans="1:22" s="37" customFormat="1" ht="12.75" thickBot="1">
      <c r="A12" s="27"/>
      <c r="B12" s="28"/>
      <c r="C12" s="28"/>
      <c r="D12" s="29"/>
      <c r="E12" s="29">
        <f>SUM(E5:E11)</f>
        <v>413846.13999999996</v>
      </c>
      <c r="F12" s="31">
        <f>SUM(F5:F11)</f>
        <v>1</v>
      </c>
      <c r="G12" s="31">
        <f>SUM(G5:G8)</f>
        <v>9016.9399999999987</v>
      </c>
      <c r="H12" s="31">
        <f>SUM(H5:H11)</f>
        <v>12890360.553468002</v>
      </c>
      <c r="I12" s="31"/>
      <c r="J12" s="32"/>
      <c r="K12" s="33"/>
      <c r="L12" s="34"/>
      <c r="M12" s="34"/>
      <c r="N12" s="35"/>
      <c r="O12" s="36"/>
    </row>
    <row r="14" spans="1:22">
      <c r="N14" s="58"/>
      <c r="O14" s="59"/>
      <c r="Q14" s="38"/>
    </row>
    <row r="15" spans="1:22">
      <c r="N15" s="58"/>
      <c r="O15" s="59"/>
      <c r="Q15" s="38"/>
    </row>
    <row r="16" spans="1:22" s="8" customFormat="1" ht="15.75" thickBot="1">
      <c r="A16" s="6"/>
      <c r="B16"/>
      <c r="C16" s="7"/>
      <c r="F16" s="39"/>
      <c r="G16" s="39"/>
      <c r="H16" s="6"/>
      <c r="I16" s="6"/>
      <c r="J16" s="6"/>
      <c r="M16" s="38"/>
      <c r="N16" s="59"/>
      <c r="O16" s="59"/>
      <c r="Q16"/>
      <c r="R16" s="9"/>
      <c r="S16" s="39"/>
      <c r="T16" s="39"/>
      <c r="U16" s="10"/>
    </row>
    <row r="17" spans="1:22" ht="15.75" thickBot="1">
      <c r="B17" s="176" t="s">
        <v>9</v>
      </c>
      <c r="C17" s="177"/>
      <c r="D17" s="177"/>
      <c r="E17" s="178"/>
      <c r="G17" s="79" t="s">
        <v>43</v>
      </c>
      <c r="H17" s="80"/>
      <c r="I17" s="81"/>
      <c r="J17" s="73"/>
      <c r="K17" s="59"/>
      <c r="M17" s="38"/>
    </row>
    <row r="18" spans="1:22" s="43" customFormat="1" ht="15.75" thickBot="1">
      <c r="A18" s="40" t="s">
        <v>10</v>
      </c>
      <c r="B18" s="179" t="s">
        <v>11</v>
      </c>
      <c r="C18" s="180"/>
      <c r="D18" s="181" t="s">
        <v>12</v>
      </c>
      <c r="E18" s="180"/>
      <c r="F18" s="62"/>
      <c r="G18" s="87">
        <f>E5+E6</f>
        <v>198461.53999999998</v>
      </c>
      <c r="H18" s="88" t="s">
        <v>44</v>
      </c>
      <c r="I18" s="89"/>
      <c r="J18" s="75"/>
      <c r="K18" s="75"/>
      <c r="L18" s="42"/>
      <c r="M18" s="42"/>
      <c r="N18" s="42"/>
      <c r="O18" s="42"/>
      <c r="R18" s="44"/>
      <c r="S18" s="41"/>
      <c r="T18" s="41"/>
      <c r="U18" s="45"/>
      <c r="V18" s="46"/>
    </row>
    <row r="19" spans="1:22" s="49" customFormat="1" ht="16.5">
      <c r="A19" s="47">
        <v>1</v>
      </c>
      <c r="B19" s="154" t="s">
        <v>14</v>
      </c>
      <c r="C19" s="155"/>
      <c r="D19" s="156">
        <f>413846.14*27.9162</f>
        <v>11553011.613468001</v>
      </c>
      <c r="E19" s="157"/>
      <c r="F19" s="63"/>
      <c r="G19" s="90">
        <v>1</v>
      </c>
      <c r="H19" s="86">
        <f>E5/G18</f>
        <v>0.75193798254311639</v>
      </c>
      <c r="I19" s="91">
        <f>H19*I21</f>
        <v>3251.4625496945146</v>
      </c>
      <c r="J19" s="76"/>
      <c r="K19" s="76"/>
      <c r="L19" s="42"/>
      <c r="M19" s="42"/>
      <c r="N19" s="42"/>
      <c r="O19" s="42"/>
      <c r="R19" s="50"/>
      <c r="S19" s="48"/>
      <c r="T19" s="48"/>
      <c r="U19" s="51"/>
      <c r="V19" s="52"/>
    </row>
    <row r="20" spans="1:22" s="49" customFormat="1" ht="16.5">
      <c r="A20" s="53">
        <v>2</v>
      </c>
      <c r="B20" s="170" t="s">
        <v>15</v>
      </c>
      <c r="C20" s="171"/>
      <c r="D20" s="172">
        <v>1289514</v>
      </c>
      <c r="E20" s="173"/>
      <c r="F20" s="63"/>
      <c r="G20" s="92">
        <v>2</v>
      </c>
      <c r="H20" s="85">
        <f>E6/G18</f>
        <v>0.24806201745688358</v>
      </c>
      <c r="I20" s="93">
        <f>H20*I21</f>
        <v>1072.6474503054849</v>
      </c>
      <c r="J20" s="76"/>
      <c r="K20" s="76"/>
      <c r="L20" s="42"/>
      <c r="M20" s="42"/>
      <c r="N20" s="42"/>
      <c r="O20" s="42"/>
      <c r="R20" s="50"/>
      <c r="S20" s="48"/>
      <c r="T20" s="48"/>
      <c r="U20" s="51"/>
      <c r="V20" s="52"/>
    </row>
    <row r="21" spans="1:22" s="49" customFormat="1" ht="17.25" thickBot="1">
      <c r="A21" s="53">
        <v>3</v>
      </c>
      <c r="B21" s="170" t="s">
        <v>16</v>
      </c>
      <c r="C21" s="171"/>
      <c r="D21" s="172">
        <v>10804</v>
      </c>
      <c r="E21" s="173"/>
      <c r="F21" s="63"/>
      <c r="G21" s="82"/>
      <c r="H21" s="83" t="s">
        <v>42</v>
      </c>
      <c r="I21" s="84">
        <v>4324.1099999999997</v>
      </c>
      <c r="J21" s="76"/>
      <c r="K21" s="76"/>
      <c r="L21" s="42"/>
      <c r="M21" s="42"/>
      <c r="N21" s="42"/>
      <c r="O21" s="42"/>
      <c r="R21" s="50"/>
      <c r="S21" s="48"/>
      <c r="T21" s="48"/>
      <c r="U21" s="51"/>
      <c r="V21" s="52"/>
    </row>
    <row r="22" spans="1:22" s="49" customFormat="1" ht="16.5">
      <c r="A22" s="53">
        <v>4</v>
      </c>
      <c r="B22" s="170" t="s">
        <v>13</v>
      </c>
      <c r="C22" s="171"/>
      <c r="D22" s="172"/>
      <c r="E22" s="173"/>
      <c r="F22" s="63"/>
      <c r="G22" s="63"/>
      <c r="H22" s="76"/>
      <c r="I22" s="76"/>
      <c r="J22" s="76"/>
      <c r="K22" s="76"/>
      <c r="L22" s="42"/>
      <c r="M22" s="42"/>
      <c r="N22" s="42"/>
      <c r="O22" s="42"/>
      <c r="R22" s="50"/>
      <c r="S22" s="48"/>
      <c r="T22" s="48"/>
      <c r="U22" s="51"/>
      <c r="V22" s="52"/>
    </row>
    <row r="23" spans="1:22" s="49" customFormat="1" ht="17.25" thickBot="1">
      <c r="A23" s="53">
        <v>5</v>
      </c>
      <c r="B23" s="170" t="s">
        <v>24</v>
      </c>
      <c r="C23" s="171"/>
      <c r="D23" s="172">
        <v>0</v>
      </c>
      <c r="E23" s="173"/>
      <c r="F23" s="63"/>
      <c r="G23" s="63"/>
      <c r="H23" s="76"/>
      <c r="I23" s="76"/>
      <c r="J23" s="76"/>
      <c r="K23" s="76"/>
      <c r="L23" s="42"/>
      <c r="M23" s="42"/>
      <c r="N23" s="42"/>
      <c r="O23" s="42"/>
      <c r="R23" s="50"/>
      <c r="S23" s="48"/>
      <c r="T23" s="48"/>
      <c r="U23" s="51"/>
      <c r="V23" s="52"/>
    </row>
    <row r="24" spans="1:22" s="49" customFormat="1" ht="16.5">
      <c r="A24" s="53">
        <v>6</v>
      </c>
      <c r="B24" s="170" t="s">
        <v>17</v>
      </c>
      <c r="C24" s="171"/>
      <c r="D24" s="172">
        <v>0</v>
      </c>
      <c r="E24" s="173"/>
      <c r="F24" s="63"/>
      <c r="G24" s="98" t="s">
        <v>46</v>
      </c>
      <c r="H24" s="99"/>
      <c r="I24" s="94">
        <v>25500</v>
      </c>
      <c r="J24" s="94">
        <v>27.9162</v>
      </c>
      <c r="K24" s="100">
        <f>I24*J24</f>
        <v>711863.1</v>
      </c>
      <c r="L24" s="42"/>
      <c r="M24" s="42"/>
      <c r="N24" s="42"/>
      <c r="O24" s="42"/>
      <c r="R24" s="50"/>
      <c r="S24" s="48"/>
      <c r="T24" s="48"/>
      <c r="U24" s="51"/>
      <c r="V24" s="52"/>
    </row>
    <row r="25" spans="1:22" s="49" customFormat="1" ht="17.25">
      <c r="A25" s="53">
        <v>7</v>
      </c>
      <c r="B25" s="170" t="s">
        <v>18</v>
      </c>
      <c r="C25" s="171"/>
      <c r="D25" s="172"/>
      <c r="E25" s="173"/>
      <c r="F25" s="63"/>
      <c r="G25" s="101" t="s">
        <v>47</v>
      </c>
      <c r="H25" s="59"/>
      <c r="I25" s="59"/>
      <c r="J25" s="57"/>
      <c r="K25" s="108">
        <f>D20</f>
        <v>1289514</v>
      </c>
      <c r="L25" s="42"/>
      <c r="M25" s="42"/>
      <c r="N25" s="42"/>
      <c r="O25" s="42"/>
      <c r="R25" s="50"/>
      <c r="S25" s="48"/>
      <c r="T25" s="48"/>
      <c r="U25" s="51"/>
      <c r="V25" s="52"/>
    </row>
    <row r="26" spans="1:22" s="49" customFormat="1" ht="16.5">
      <c r="A26" s="53">
        <v>8</v>
      </c>
      <c r="B26" s="158" t="s">
        <v>19</v>
      </c>
      <c r="C26" s="159"/>
      <c r="D26" s="168"/>
      <c r="E26" s="169"/>
      <c r="F26" s="63"/>
      <c r="G26" s="102"/>
      <c r="H26" s="59"/>
      <c r="I26" s="59"/>
      <c r="J26" s="57"/>
      <c r="K26" s="103"/>
      <c r="L26" s="42"/>
      <c r="M26" s="42"/>
      <c r="N26" s="42"/>
      <c r="O26" s="42"/>
      <c r="R26" s="50"/>
      <c r="S26" s="48"/>
      <c r="T26" s="48"/>
      <c r="U26" s="51"/>
      <c r="V26" s="52"/>
    </row>
    <row r="27" spans="1:22" s="49" customFormat="1" ht="17.25" thickBot="1">
      <c r="A27" s="54">
        <v>9</v>
      </c>
      <c r="B27" s="166" t="s">
        <v>20</v>
      </c>
      <c r="C27" s="167"/>
      <c r="D27" s="168">
        <v>28014</v>
      </c>
      <c r="E27" s="169"/>
      <c r="F27" s="63"/>
      <c r="G27" s="104" t="s">
        <v>48</v>
      </c>
      <c r="H27" s="105"/>
      <c r="I27" s="105"/>
      <c r="J27" s="106"/>
      <c r="K27" s="107">
        <f>K25-K24</f>
        <v>577650.9</v>
      </c>
      <c r="L27" s="42"/>
      <c r="M27" s="42"/>
      <c r="N27" s="42"/>
      <c r="O27" s="42"/>
      <c r="R27" s="50"/>
      <c r="S27" s="48"/>
      <c r="T27" s="48"/>
      <c r="U27" s="51"/>
      <c r="V27" s="52"/>
    </row>
    <row r="28" spans="1:22" s="49" customFormat="1" ht="16.5">
      <c r="A28" s="54">
        <v>10</v>
      </c>
      <c r="B28" s="166" t="s">
        <v>25</v>
      </c>
      <c r="C28" s="167"/>
      <c r="D28" s="168"/>
      <c r="E28" s="169"/>
      <c r="F28" s="63"/>
      <c r="G28" s="63"/>
      <c r="H28" s="77"/>
      <c r="I28" s="77"/>
      <c r="J28" s="77"/>
      <c r="K28" s="77"/>
      <c r="L28" s="42"/>
      <c r="M28" s="42"/>
      <c r="N28" s="42"/>
      <c r="O28" s="42"/>
      <c r="R28" s="50"/>
      <c r="S28" s="48"/>
      <c r="T28" s="48"/>
      <c r="U28" s="51"/>
      <c r="V28" s="52"/>
    </row>
    <row r="29" spans="1:22" s="49" customFormat="1" ht="17.25" thickBot="1">
      <c r="A29" s="54">
        <v>11</v>
      </c>
      <c r="B29" s="158" t="s">
        <v>21</v>
      </c>
      <c r="C29" s="159"/>
      <c r="D29" s="160"/>
      <c r="E29" s="161"/>
      <c r="F29" s="63"/>
      <c r="G29" s="63"/>
      <c r="H29" s="77"/>
      <c r="I29" s="77"/>
      <c r="J29" s="77"/>
      <c r="K29" s="77"/>
      <c r="L29" s="42"/>
      <c r="M29" s="42"/>
      <c r="N29" s="42"/>
      <c r="O29" s="42"/>
      <c r="R29" s="50"/>
      <c r="S29" s="48"/>
      <c r="T29" s="48"/>
      <c r="U29" s="51"/>
      <c r="V29" s="52"/>
    </row>
    <row r="30" spans="1:22" s="49" customFormat="1" ht="17.25" thickBot="1">
      <c r="A30" s="55"/>
      <c r="B30" s="162" t="s">
        <v>22</v>
      </c>
      <c r="C30" s="163"/>
      <c r="D30" s="164">
        <f>SUM(D19:D29)</f>
        <v>12881343.613468001</v>
      </c>
      <c r="E30" s="165"/>
      <c r="F30" s="63"/>
      <c r="G30" s="63"/>
      <c r="H30" s="76"/>
      <c r="I30" s="76"/>
      <c r="J30" s="78"/>
      <c r="K30" s="78"/>
      <c r="L30" s="42"/>
      <c r="M30" s="42"/>
      <c r="N30" s="42"/>
      <c r="O30" s="42"/>
      <c r="P30" s="52"/>
      <c r="R30" s="50"/>
      <c r="S30" s="48"/>
      <c r="T30" s="48"/>
      <c r="U30" s="51"/>
      <c r="V30" s="52"/>
    </row>
    <row r="31" spans="1:22" s="49" customFormat="1" ht="15.75">
      <c r="A31" s="47">
        <v>10</v>
      </c>
      <c r="B31" s="154" t="s">
        <v>8</v>
      </c>
      <c r="C31" s="155"/>
      <c r="D31" s="156">
        <v>0</v>
      </c>
      <c r="E31" s="157"/>
      <c r="F31" s="63"/>
      <c r="G31" s="63"/>
      <c r="H31" s="48"/>
      <c r="I31" s="48"/>
      <c r="J31" s="48"/>
      <c r="K31" s="52"/>
      <c r="L31" s="52"/>
      <c r="N31" s="52"/>
      <c r="O31" s="52"/>
      <c r="P31" s="52"/>
      <c r="R31" s="50"/>
      <c r="S31" s="48"/>
      <c r="T31" s="48"/>
      <c r="U31" s="51"/>
      <c r="V31" s="52"/>
    </row>
    <row r="32" spans="1:22" s="49" customFormat="1" ht="16.5" thickBot="1">
      <c r="A32" s="54">
        <v>11</v>
      </c>
      <c r="B32" s="158" t="s">
        <v>23</v>
      </c>
      <c r="C32" s="159"/>
      <c r="D32" s="160">
        <v>0</v>
      </c>
      <c r="E32" s="161"/>
      <c r="F32" s="63"/>
      <c r="G32" s="63"/>
      <c r="H32" s="48"/>
      <c r="I32" s="48"/>
      <c r="J32" s="48"/>
      <c r="K32" s="52"/>
      <c r="L32" s="52"/>
      <c r="N32" s="52"/>
      <c r="O32" s="52"/>
      <c r="P32" s="52"/>
      <c r="R32" s="50"/>
      <c r="S32" s="48"/>
      <c r="T32" s="48"/>
      <c r="U32" s="51"/>
      <c r="V32" s="52"/>
    </row>
    <row r="33" spans="1:22" s="49" customFormat="1" ht="17.25" thickBot="1">
      <c r="A33" s="55"/>
      <c r="B33" s="162" t="s">
        <v>22</v>
      </c>
      <c r="C33" s="163"/>
      <c r="D33" s="164">
        <f>SUM(D30:D32)</f>
        <v>12881343.613468001</v>
      </c>
      <c r="E33" s="165"/>
      <c r="F33" s="63"/>
      <c r="G33" s="63"/>
      <c r="H33" s="48"/>
      <c r="I33" s="48"/>
      <c r="J33" s="66"/>
      <c r="K33" s="52"/>
      <c r="L33" s="52"/>
      <c r="N33" s="52"/>
      <c r="O33" s="52"/>
      <c r="P33" s="52"/>
      <c r="R33" s="50"/>
      <c r="S33" s="48"/>
      <c r="T33" s="48"/>
      <c r="U33" s="51"/>
      <c r="V33" s="52"/>
    </row>
    <row r="34" spans="1:22">
      <c r="D34" s="153"/>
      <c r="E34" s="153"/>
      <c r="N34" s="56"/>
    </row>
    <row r="35" spans="1:22">
      <c r="D35" s="57"/>
      <c r="E35" s="57"/>
      <c r="N35" s="56"/>
    </row>
    <row r="36" spans="1:22">
      <c r="D36" s="57"/>
      <c r="E36" s="57"/>
    </row>
  </sheetData>
  <mergeCells count="36">
    <mergeCell ref="B19:C19"/>
    <mergeCell ref="D19:E19"/>
    <mergeCell ref="C2:E2"/>
    <mergeCell ref="H2:L2"/>
    <mergeCell ref="B17:E17"/>
    <mergeCell ref="B18:C18"/>
    <mergeCell ref="D18:E18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D34:E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U36"/>
  <sheetViews>
    <sheetView workbookViewId="0">
      <selection activeCell="E35" sqref="E35"/>
    </sheetView>
  </sheetViews>
  <sheetFormatPr defaultRowHeight="15"/>
  <cols>
    <col min="1" max="1" width="4.140625" style="6" customWidth="1"/>
    <col min="2" max="2" width="23.28515625" customWidth="1"/>
    <col min="3" max="3" width="11.5703125" style="7" bestFit="1" customWidth="1"/>
    <col min="4" max="4" width="15.42578125" style="8" customWidth="1"/>
    <col min="5" max="5" width="13.85546875" style="8" customWidth="1"/>
    <col min="6" max="6" width="13.28515625" style="39" customWidth="1"/>
    <col min="7" max="7" width="14.5703125" style="6" bestFit="1" customWidth="1"/>
    <col min="8" max="8" width="9.7109375" style="6" customWidth="1"/>
    <col min="9" max="9" width="14.5703125" style="6" bestFit="1" customWidth="1"/>
    <col min="10" max="10" width="12.28515625" style="8" customWidth="1"/>
    <col min="11" max="11" width="12.28515625" style="8" bestFit="1" customWidth="1"/>
    <col min="12" max="12" width="13.28515625" bestFit="1" customWidth="1"/>
    <col min="13" max="13" width="14.5703125" style="8" customWidth="1"/>
    <col min="14" max="14" width="16.28515625" style="8" customWidth="1"/>
    <col min="15" max="15" width="11.42578125" style="8" customWidth="1"/>
    <col min="16" max="16" width="10.42578125" customWidth="1"/>
    <col min="17" max="17" width="11.5703125" style="9" bestFit="1" customWidth="1"/>
    <col min="18" max="19" width="6.140625" style="6" bestFit="1" customWidth="1"/>
    <col min="20" max="20" width="14.5703125" style="10" bestFit="1" customWidth="1"/>
    <col min="21" max="21" width="14.5703125" style="8" bestFit="1" customWidth="1"/>
  </cols>
  <sheetData>
    <row r="2" spans="1:21" s="2" customFormat="1" ht="16.5" thickBot="1">
      <c r="A2" s="1"/>
      <c r="C2" s="174" t="s">
        <v>30</v>
      </c>
      <c r="D2" s="174"/>
      <c r="E2" s="174"/>
      <c r="F2" s="61"/>
      <c r="G2" s="175"/>
      <c r="H2" s="175"/>
      <c r="I2" s="175"/>
      <c r="J2" s="175"/>
      <c r="K2" s="175"/>
      <c r="M2" s="3"/>
      <c r="N2" s="3"/>
      <c r="O2" s="3"/>
      <c r="Q2" s="4"/>
      <c r="R2" s="1"/>
      <c r="S2" s="1"/>
      <c r="T2" s="5"/>
      <c r="U2" s="3"/>
    </row>
    <row r="3" spans="1:21" ht="9" customHeight="1" thickBot="1">
      <c r="C3" s="8"/>
      <c r="E3" s="6"/>
      <c r="I3" s="8"/>
      <c r="K3"/>
      <c r="L3" s="8"/>
      <c r="O3"/>
      <c r="P3" s="9"/>
      <c r="Q3" s="6"/>
      <c r="S3" s="10"/>
      <c r="T3" s="8"/>
      <c r="U3"/>
    </row>
    <row r="4" spans="1:21" s="18" customFormat="1" ht="13.5" thickBot="1">
      <c r="A4" s="11" t="s">
        <v>0</v>
      </c>
      <c r="B4" s="12" t="s">
        <v>1</v>
      </c>
      <c r="C4" s="13" t="s">
        <v>2</v>
      </c>
      <c r="D4" s="14" t="s">
        <v>32</v>
      </c>
      <c r="E4" s="15" t="s">
        <v>34</v>
      </c>
      <c r="F4" s="16"/>
      <c r="G4" s="17"/>
      <c r="J4" s="19"/>
      <c r="K4" s="20"/>
    </row>
    <row r="5" spans="1:21">
      <c r="A5" s="21">
        <v>1</v>
      </c>
      <c r="B5" s="109" t="s">
        <v>29</v>
      </c>
      <c r="C5" s="23">
        <v>40740</v>
      </c>
      <c r="D5" s="67">
        <v>28.1829</v>
      </c>
      <c r="E5" s="69">
        <f>D33</f>
        <v>1208814.9400550001</v>
      </c>
      <c r="F5" s="26"/>
      <c r="G5" s="9"/>
      <c r="J5" s="10"/>
      <c r="M5"/>
      <c r="N5"/>
      <c r="O5"/>
      <c r="Q5"/>
      <c r="R5"/>
      <c r="S5"/>
      <c r="T5"/>
      <c r="U5"/>
    </row>
    <row r="6" spans="1:21" ht="15.75">
      <c r="A6" s="21">
        <v>2</v>
      </c>
      <c r="B6" s="60"/>
      <c r="C6" s="23"/>
      <c r="D6" s="64"/>
      <c r="E6" s="25"/>
      <c r="F6" s="26"/>
      <c r="G6" s="9"/>
      <c r="J6" s="10"/>
      <c r="M6"/>
      <c r="N6"/>
      <c r="O6"/>
      <c r="Q6"/>
      <c r="R6"/>
      <c r="S6"/>
      <c r="T6"/>
      <c r="U6"/>
    </row>
    <row r="7" spans="1:21">
      <c r="A7" s="21">
        <v>3</v>
      </c>
      <c r="B7" s="22"/>
      <c r="C7" s="23"/>
      <c r="D7" s="64"/>
      <c r="E7" s="25"/>
      <c r="F7" s="26"/>
      <c r="G7" s="9"/>
      <c r="J7" s="10"/>
      <c r="M7"/>
      <c r="N7"/>
      <c r="O7"/>
      <c r="Q7"/>
      <c r="R7"/>
      <c r="S7"/>
      <c r="T7"/>
      <c r="U7"/>
    </row>
    <row r="8" spans="1:21">
      <c r="A8" s="21">
        <v>4</v>
      </c>
      <c r="B8" s="22"/>
      <c r="C8" s="23"/>
      <c r="D8" s="64"/>
      <c r="E8" s="25"/>
      <c r="F8" s="26"/>
      <c r="G8" s="9"/>
      <c r="J8" s="10"/>
      <c r="M8"/>
      <c r="N8"/>
      <c r="O8"/>
      <c r="Q8"/>
      <c r="R8"/>
      <c r="S8"/>
      <c r="T8"/>
      <c r="U8"/>
    </row>
    <row r="9" spans="1:21">
      <c r="A9" s="21">
        <v>5</v>
      </c>
      <c r="B9" s="22"/>
      <c r="C9" s="23"/>
      <c r="D9" s="64"/>
      <c r="E9" s="25"/>
      <c r="F9" s="26"/>
      <c r="G9" s="9"/>
      <c r="J9" s="10"/>
      <c r="M9"/>
      <c r="N9"/>
      <c r="O9"/>
      <c r="Q9"/>
      <c r="R9"/>
      <c r="S9"/>
      <c r="T9"/>
      <c r="U9"/>
    </row>
    <row r="10" spans="1:21">
      <c r="A10" s="21">
        <v>6</v>
      </c>
      <c r="B10" s="22"/>
      <c r="C10" s="23"/>
      <c r="D10" s="64"/>
      <c r="E10" s="25"/>
      <c r="F10" s="26"/>
      <c r="G10" s="9"/>
      <c r="J10" s="10"/>
      <c r="M10"/>
      <c r="N10"/>
      <c r="O10"/>
      <c r="Q10"/>
      <c r="R10"/>
      <c r="S10"/>
      <c r="T10"/>
      <c r="U10"/>
    </row>
    <row r="11" spans="1:21">
      <c r="A11" s="21">
        <v>7</v>
      </c>
      <c r="B11" s="22"/>
      <c r="C11" s="23"/>
      <c r="D11" s="64"/>
      <c r="E11" s="25"/>
      <c r="F11" s="26"/>
      <c r="G11" s="9"/>
      <c r="J11" s="10"/>
      <c r="M11"/>
      <c r="N11"/>
      <c r="O11"/>
      <c r="Q11"/>
      <c r="R11"/>
      <c r="S11"/>
      <c r="T11"/>
      <c r="U11"/>
    </row>
    <row r="12" spans="1:21" s="37" customFormat="1" ht="23.25" customHeight="1" thickBot="1">
      <c r="A12" s="27"/>
      <c r="B12" s="28"/>
      <c r="C12" s="29"/>
      <c r="D12" s="68">
        <f>SUM(D5:D11)</f>
        <v>28.1829</v>
      </c>
      <c r="E12" s="31"/>
      <c r="F12" s="32"/>
      <c r="G12" s="33"/>
      <c r="H12" s="34"/>
      <c r="I12" s="34"/>
      <c r="J12" s="35"/>
      <c r="K12" s="36"/>
    </row>
    <row r="14" spans="1:21">
      <c r="M14" s="58"/>
      <c r="N14" s="59"/>
      <c r="P14" s="38"/>
    </row>
    <row r="15" spans="1:21">
      <c r="M15" s="58"/>
      <c r="N15" s="59"/>
      <c r="P15" s="38"/>
    </row>
    <row r="16" spans="1:21" s="8" customFormat="1" ht="15.75" thickBot="1">
      <c r="A16" s="6"/>
      <c r="B16"/>
      <c r="C16" s="7"/>
      <c r="F16" s="39"/>
      <c r="G16" s="6"/>
      <c r="H16" s="6"/>
      <c r="I16" s="6"/>
      <c r="L16" s="38"/>
      <c r="M16" s="59"/>
      <c r="N16" s="59"/>
      <c r="P16"/>
      <c r="Q16" s="9"/>
      <c r="R16" s="39"/>
      <c r="S16" s="39"/>
      <c r="T16" s="10"/>
    </row>
    <row r="17" spans="1:21" ht="16.5" customHeight="1" thickBot="1">
      <c r="B17" s="176" t="s">
        <v>9</v>
      </c>
      <c r="C17" s="177"/>
      <c r="D17" s="177"/>
      <c r="E17" s="178"/>
      <c r="L17" s="38"/>
    </row>
    <row r="18" spans="1:21" s="43" customFormat="1" ht="16.5" customHeight="1" thickBot="1">
      <c r="A18" s="40" t="s">
        <v>10</v>
      </c>
      <c r="B18" s="179" t="s">
        <v>11</v>
      </c>
      <c r="C18" s="180"/>
      <c r="D18" s="181" t="s">
        <v>12</v>
      </c>
      <c r="E18" s="180"/>
      <c r="F18" s="62"/>
      <c r="I18" s="192" t="s">
        <v>13</v>
      </c>
      <c r="J18" s="192"/>
      <c r="K18" s="42"/>
      <c r="L18" s="42"/>
      <c r="M18" s="42"/>
      <c r="N18" s="42"/>
      <c r="Q18" s="44"/>
      <c r="R18" s="41"/>
      <c r="S18" s="41"/>
      <c r="T18" s="45"/>
      <c r="U18" s="46"/>
    </row>
    <row r="19" spans="1:21" s="49" customFormat="1" ht="15.75" customHeight="1">
      <c r="A19" s="47">
        <v>1</v>
      </c>
      <c r="B19" s="154" t="s">
        <v>14</v>
      </c>
      <c r="C19" s="155"/>
      <c r="D19" s="156">
        <f>40740*28.146</f>
        <v>1146668.04</v>
      </c>
      <c r="E19" s="157"/>
      <c r="F19" s="63"/>
      <c r="G19" s="186" t="s">
        <v>31</v>
      </c>
      <c r="H19" s="187"/>
      <c r="I19" s="186">
        <f>+(11.62+2047.71)*28.2835</f>
        <v>58245.060055000002</v>
      </c>
      <c r="J19" s="187"/>
      <c r="K19" s="42"/>
      <c r="L19" s="42"/>
      <c r="M19" s="42"/>
      <c r="N19" s="42"/>
      <c r="Q19" s="50"/>
      <c r="R19" s="48"/>
      <c r="S19" s="48"/>
      <c r="T19" s="51"/>
      <c r="U19" s="52"/>
    </row>
    <row r="20" spans="1:21" s="49" customFormat="1" ht="15.75" customHeight="1">
      <c r="A20" s="53">
        <v>2</v>
      </c>
      <c r="B20" s="170" t="s">
        <v>15</v>
      </c>
      <c r="C20" s="171"/>
      <c r="D20" s="172">
        <v>2029</v>
      </c>
      <c r="E20" s="173"/>
      <c r="F20" s="63"/>
      <c r="G20" s="189"/>
      <c r="H20" s="173"/>
      <c r="I20" s="189"/>
      <c r="J20" s="173"/>
      <c r="K20" s="42"/>
      <c r="L20" s="42"/>
      <c r="M20" s="42"/>
      <c r="N20" s="42"/>
      <c r="Q20" s="50"/>
      <c r="R20" s="48"/>
      <c r="S20" s="48"/>
      <c r="T20" s="51"/>
      <c r="U20" s="52"/>
    </row>
    <row r="21" spans="1:21" s="49" customFormat="1" ht="15.75" customHeight="1">
      <c r="A21" s="53">
        <v>3</v>
      </c>
      <c r="B21" s="170" t="s">
        <v>16</v>
      </c>
      <c r="C21" s="171"/>
      <c r="D21" s="172">
        <v>1068</v>
      </c>
      <c r="E21" s="173"/>
      <c r="F21" s="63"/>
      <c r="G21" s="189"/>
      <c r="H21" s="173"/>
      <c r="I21" s="189"/>
      <c r="J21" s="173"/>
      <c r="K21" s="42"/>
      <c r="L21" s="42"/>
      <c r="M21" s="42"/>
      <c r="N21" s="42"/>
      <c r="Q21" s="50"/>
      <c r="R21" s="48"/>
      <c r="S21" s="48"/>
      <c r="T21" s="51"/>
      <c r="U21" s="52"/>
    </row>
    <row r="22" spans="1:21" s="49" customFormat="1" ht="16.5" customHeight="1">
      <c r="A22" s="53">
        <v>4</v>
      </c>
      <c r="B22" s="170" t="s">
        <v>13</v>
      </c>
      <c r="C22" s="171"/>
      <c r="D22" s="172">
        <f>I30</f>
        <v>58245.060055000002</v>
      </c>
      <c r="E22" s="173"/>
      <c r="F22" s="63"/>
      <c r="G22" s="189"/>
      <c r="H22" s="173"/>
      <c r="I22" s="189"/>
      <c r="J22" s="173"/>
      <c r="K22" s="42"/>
      <c r="L22" s="42"/>
      <c r="M22" s="42"/>
      <c r="N22" s="42"/>
      <c r="Q22" s="50"/>
      <c r="R22" s="48"/>
      <c r="S22" s="48"/>
      <c r="T22" s="51"/>
      <c r="U22" s="52"/>
    </row>
    <row r="23" spans="1:21" s="49" customFormat="1" ht="15.75" customHeight="1">
      <c r="A23" s="53">
        <v>5</v>
      </c>
      <c r="B23" s="170" t="s">
        <v>24</v>
      </c>
      <c r="C23" s="171"/>
      <c r="D23" s="172">
        <v>0</v>
      </c>
      <c r="E23" s="173"/>
      <c r="F23" s="63"/>
      <c r="G23" s="189"/>
      <c r="H23" s="173"/>
      <c r="I23" s="189"/>
      <c r="J23" s="173"/>
      <c r="K23" s="42"/>
      <c r="L23" s="42"/>
      <c r="M23" s="42"/>
      <c r="N23" s="42"/>
      <c r="Q23" s="50"/>
      <c r="R23" s="48"/>
      <c r="S23" s="48"/>
      <c r="T23" s="51"/>
      <c r="U23" s="52"/>
    </row>
    <row r="24" spans="1:21" s="49" customFormat="1" ht="15.75" customHeight="1">
      <c r="A24" s="53">
        <v>6</v>
      </c>
      <c r="B24" s="170" t="s">
        <v>17</v>
      </c>
      <c r="C24" s="171"/>
      <c r="D24" s="172">
        <v>0</v>
      </c>
      <c r="E24" s="173"/>
      <c r="F24" s="63"/>
      <c r="G24" s="189"/>
      <c r="H24" s="173"/>
      <c r="I24" s="189"/>
      <c r="J24" s="173"/>
      <c r="K24" s="42"/>
      <c r="L24" s="42"/>
      <c r="M24" s="42"/>
      <c r="N24" s="42"/>
      <c r="Q24" s="50"/>
      <c r="R24" s="48"/>
      <c r="S24" s="48"/>
      <c r="T24" s="51"/>
      <c r="U24" s="52"/>
    </row>
    <row r="25" spans="1:21" s="49" customFormat="1" ht="15.75" customHeight="1">
      <c r="A25" s="53">
        <v>7</v>
      </c>
      <c r="B25" s="170" t="s">
        <v>18</v>
      </c>
      <c r="C25" s="171"/>
      <c r="D25" s="172"/>
      <c r="E25" s="173"/>
      <c r="F25" s="63"/>
      <c r="G25" s="189"/>
      <c r="H25" s="173"/>
      <c r="I25" s="189"/>
      <c r="J25" s="173"/>
      <c r="K25" s="42"/>
      <c r="L25" s="42"/>
      <c r="M25" s="42"/>
      <c r="N25" s="42"/>
      <c r="Q25" s="50"/>
      <c r="R25" s="48"/>
      <c r="S25" s="48"/>
      <c r="T25" s="51"/>
      <c r="U25" s="52"/>
    </row>
    <row r="26" spans="1:21" s="49" customFormat="1" ht="15.75" customHeight="1">
      <c r="A26" s="53">
        <v>8</v>
      </c>
      <c r="B26" s="158" t="s">
        <v>19</v>
      </c>
      <c r="C26" s="159"/>
      <c r="D26" s="168"/>
      <c r="E26" s="169"/>
      <c r="F26" s="63"/>
      <c r="G26" s="190"/>
      <c r="H26" s="191"/>
      <c r="I26" s="190"/>
      <c r="J26" s="191"/>
      <c r="K26" s="42"/>
      <c r="L26" s="42"/>
      <c r="M26" s="42"/>
      <c r="N26" s="42"/>
      <c r="Q26" s="50"/>
      <c r="R26" s="48"/>
      <c r="S26" s="48"/>
      <c r="T26" s="51"/>
      <c r="U26" s="52"/>
    </row>
    <row r="27" spans="1:21" s="49" customFormat="1" ht="15.75" customHeight="1">
      <c r="A27" s="54">
        <v>9</v>
      </c>
      <c r="B27" s="166" t="s">
        <v>20</v>
      </c>
      <c r="C27" s="167"/>
      <c r="D27" s="168"/>
      <c r="E27" s="169"/>
      <c r="F27" s="63"/>
      <c r="G27" s="190"/>
      <c r="H27" s="191"/>
      <c r="I27" s="190"/>
      <c r="J27" s="191"/>
      <c r="K27" s="42"/>
      <c r="L27" s="42"/>
      <c r="M27" s="42"/>
      <c r="N27" s="42"/>
      <c r="Q27" s="50"/>
      <c r="R27" s="48"/>
      <c r="S27" s="48"/>
      <c r="T27" s="51"/>
      <c r="U27" s="52"/>
    </row>
    <row r="28" spans="1:21" s="49" customFormat="1" ht="15.75" customHeight="1">
      <c r="A28" s="54">
        <v>10</v>
      </c>
      <c r="B28" s="166" t="s">
        <v>25</v>
      </c>
      <c r="C28" s="167"/>
      <c r="D28" s="168">
        <v>804.84</v>
      </c>
      <c r="E28" s="169"/>
      <c r="F28" s="63"/>
      <c r="G28" s="182"/>
      <c r="H28" s="183"/>
      <c r="I28" s="182"/>
      <c r="J28" s="183"/>
      <c r="K28" s="42"/>
      <c r="L28" s="42"/>
      <c r="M28" s="42"/>
      <c r="N28" s="42"/>
      <c r="Q28" s="50"/>
      <c r="R28" s="48"/>
      <c r="S28" s="48"/>
      <c r="T28" s="51"/>
      <c r="U28" s="52"/>
    </row>
    <row r="29" spans="1:21" s="49" customFormat="1" ht="16.5" customHeight="1" thickBot="1">
      <c r="A29" s="54">
        <v>11</v>
      </c>
      <c r="B29" s="158" t="s">
        <v>21</v>
      </c>
      <c r="C29" s="159"/>
      <c r="D29" s="160"/>
      <c r="E29" s="161"/>
      <c r="F29" s="63"/>
      <c r="G29" s="184"/>
      <c r="H29" s="185"/>
      <c r="I29" s="184"/>
      <c r="J29" s="185"/>
      <c r="K29" s="42"/>
      <c r="L29" s="42"/>
      <c r="M29" s="42"/>
      <c r="N29" s="42"/>
      <c r="Q29" s="50"/>
      <c r="R29" s="48"/>
      <c r="S29" s="48"/>
      <c r="T29" s="51"/>
      <c r="U29" s="52"/>
    </row>
    <row r="30" spans="1:21" s="49" customFormat="1" ht="17.25" thickBot="1">
      <c r="A30" s="55"/>
      <c r="B30" s="162" t="s">
        <v>22</v>
      </c>
      <c r="C30" s="163"/>
      <c r="D30" s="164">
        <f>SUM(D19:D29)</f>
        <v>1208814.9400550001</v>
      </c>
      <c r="E30" s="165"/>
      <c r="F30" s="63"/>
      <c r="G30" s="186"/>
      <c r="H30" s="187"/>
      <c r="I30" s="188">
        <f>SUM(I19:I29)</f>
        <v>58245.060055000002</v>
      </c>
      <c r="J30" s="165"/>
      <c r="K30" s="42"/>
      <c r="L30" s="42"/>
      <c r="M30" s="42"/>
      <c r="N30" s="42"/>
      <c r="O30" s="52"/>
      <c r="Q30" s="50"/>
      <c r="R30" s="48"/>
      <c r="S30" s="48"/>
      <c r="T30" s="51"/>
      <c r="U30" s="52"/>
    </row>
    <row r="31" spans="1:21" s="49" customFormat="1" ht="15.75">
      <c r="A31" s="47">
        <v>10</v>
      </c>
      <c r="B31" s="154" t="s">
        <v>8</v>
      </c>
      <c r="C31" s="155"/>
      <c r="D31" s="156">
        <v>0</v>
      </c>
      <c r="E31" s="157"/>
      <c r="F31" s="63"/>
      <c r="G31" s="48"/>
      <c r="H31" s="48"/>
      <c r="I31" s="48"/>
      <c r="J31" s="52"/>
      <c r="K31" s="52"/>
      <c r="M31" s="52"/>
      <c r="N31" s="52"/>
      <c r="O31" s="52"/>
      <c r="Q31" s="50"/>
      <c r="R31" s="48"/>
      <c r="S31" s="48"/>
      <c r="T31" s="51"/>
      <c r="U31" s="52"/>
    </row>
    <row r="32" spans="1:21" s="49" customFormat="1" ht="16.5" thickBot="1">
      <c r="A32" s="54">
        <v>11</v>
      </c>
      <c r="B32" s="158" t="s">
        <v>23</v>
      </c>
      <c r="C32" s="159"/>
      <c r="D32" s="160">
        <v>0</v>
      </c>
      <c r="E32" s="161"/>
      <c r="F32" s="63"/>
      <c r="G32" s="97"/>
      <c r="H32" s="97"/>
      <c r="I32" s="57"/>
      <c r="J32" s="57"/>
      <c r="K32" s="57"/>
      <c r="M32" s="52"/>
      <c r="N32" s="52"/>
      <c r="O32" s="52"/>
      <c r="Q32" s="50"/>
      <c r="R32" s="48"/>
      <c r="S32" s="48"/>
      <c r="T32" s="51"/>
      <c r="U32" s="52"/>
    </row>
    <row r="33" spans="1:21" s="49" customFormat="1" ht="18" thickBot="1">
      <c r="A33" s="55"/>
      <c r="B33" s="162" t="s">
        <v>22</v>
      </c>
      <c r="C33" s="163"/>
      <c r="D33" s="164">
        <f>SUM(D30:D32)</f>
        <v>1208814.9400550001</v>
      </c>
      <c r="E33" s="165"/>
      <c r="F33" s="63"/>
      <c r="G33" s="110"/>
      <c r="H33" s="59"/>
      <c r="I33" s="59"/>
      <c r="J33" s="57"/>
      <c r="K33" s="111"/>
      <c r="M33" s="52"/>
      <c r="N33" s="52"/>
      <c r="O33" s="52"/>
      <c r="Q33" s="50"/>
      <c r="R33" s="48"/>
      <c r="S33" s="48"/>
      <c r="T33" s="51"/>
      <c r="U33" s="52"/>
    </row>
    <row r="34" spans="1:21">
      <c r="D34" s="153"/>
      <c r="E34" s="153"/>
      <c r="G34" s="112"/>
      <c r="H34" s="59"/>
      <c r="I34" s="59"/>
      <c r="J34" s="57"/>
      <c r="K34" s="73"/>
      <c r="M34" s="56"/>
    </row>
    <row r="35" spans="1:21">
      <c r="D35" s="57"/>
      <c r="E35" s="57"/>
      <c r="G35" s="112"/>
      <c r="H35" s="59"/>
      <c r="I35" s="59"/>
      <c r="J35" s="57"/>
      <c r="K35" s="113"/>
      <c r="M35" s="56"/>
    </row>
    <row r="36" spans="1:21">
      <c r="D36" s="57"/>
      <c r="E36" s="57"/>
    </row>
  </sheetData>
  <mergeCells count="61">
    <mergeCell ref="B21:C21"/>
    <mergeCell ref="D21:E21"/>
    <mergeCell ref="B22:C22"/>
    <mergeCell ref="D22:E22"/>
    <mergeCell ref="B19:C19"/>
    <mergeCell ref="D19:E19"/>
    <mergeCell ref="B20:C20"/>
    <mergeCell ref="D20:E20"/>
    <mergeCell ref="B25:C25"/>
    <mergeCell ref="D25:E25"/>
    <mergeCell ref="B26:C26"/>
    <mergeCell ref="D26:E26"/>
    <mergeCell ref="B23:C23"/>
    <mergeCell ref="D23:E23"/>
    <mergeCell ref="B24:C24"/>
    <mergeCell ref="D24:E24"/>
    <mergeCell ref="B29:C29"/>
    <mergeCell ref="D29:E29"/>
    <mergeCell ref="B30:C30"/>
    <mergeCell ref="D30:E30"/>
    <mergeCell ref="B27:C27"/>
    <mergeCell ref="D27:E27"/>
    <mergeCell ref="B28:C28"/>
    <mergeCell ref="D28:E28"/>
    <mergeCell ref="B31:C31"/>
    <mergeCell ref="D31:E31"/>
    <mergeCell ref="B32:C32"/>
    <mergeCell ref="D32:E32"/>
    <mergeCell ref="B33:C33"/>
    <mergeCell ref="D33:E33"/>
    <mergeCell ref="D34:E34"/>
    <mergeCell ref="G2:K2"/>
    <mergeCell ref="I18:J18"/>
    <mergeCell ref="G19:H19"/>
    <mergeCell ref="I19:J19"/>
    <mergeCell ref="G20:H20"/>
    <mergeCell ref="I20:J20"/>
    <mergeCell ref="G21:H21"/>
    <mergeCell ref="I21:J21"/>
    <mergeCell ref="C2:E2"/>
    <mergeCell ref="B17:E17"/>
    <mergeCell ref="B18:C18"/>
    <mergeCell ref="D18:E18"/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U36"/>
  <sheetViews>
    <sheetView workbookViewId="0">
      <selection activeCell="B5" sqref="B5"/>
    </sheetView>
  </sheetViews>
  <sheetFormatPr defaultRowHeight="15"/>
  <cols>
    <col min="1" max="1" width="4.140625" style="6" customWidth="1"/>
    <col min="2" max="2" width="23.28515625" customWidth="1"/>
    <col min="3" max="3" width="11.5703125" style="7" bestFit="1" customWidth="1"/>
    <col min="4" max="4" width="15.42578125" style="8" customWidth="1"/>
    <col min="5" max="5" width="13.85546875" style="8" customWidth="1"/>
    <col min="6" max="6" width="13.28515625" style="39" customWidth="1"/>
    <col min="7" max="7" width="14.5703125" style="6" bestFit="1" customWidth="1"/>
    <col min="8" max="8" width="9.7109375" style="6" customWidth="1"/>
    <col min="9" max="9" width="14.5703125" style="6" bestFit="1" customWidth="1"/>
    <col min="10" max="10" width="12.28515625" style="8" customWidth="1"/>
    <col min="11" max="11" width="11.5703125" style="8" bestFit="1" customWidth="1"/>
    <col min="12" max="12" width="13.28515625" bestFit="1" customWidth="1"/>
    <col min="13" max="13" width="14.5703125" style="8" customWidth="1"/>
    <col min="14" max="14" width="16.28515625" style="8" customWidth="1"/>
    <col min="15" max="15" width="11.42578125" style="8" customWidth="1"/>
    <col min="16" max="16" width="10.42578125" customWidth="1"/>
    <col min="17" max="17" width="11.5703125" style="9" bestFit="1" customWidth="1"/>
    <col min="18" max="19" width="6.140625" style="6" bestFit="1" customWidth="1"/>
    <col min="20" max="20" width="14.5703125" style="10" bestFit="1" customWidth="1"/>
    <col min="21" max="21" width="14.5703125" style="8" bestFit="1" customWidth="1"/>
  </cols>
  <sheetData>
    <row r="2" spans="1:21" s="2" customFormat="1" ht="16.5" thickBot="1">
      <c r="A2" s="1"/>
      <c r="C2" s="174" t="s">
        <v>30</v>
      </c>
      <c r="D2" s="174"/>
      <c r="E2" s="174"/>
      <c r="F2" s="61"/>
      <c r="G2" s="175"/>
      <c r="H2" s="175"/>
      <c r="I2" s="175"/>
      <c r="J2" s="175"/>
      <c r="K2" s="175"/>
      <c r="M2" s="3"/>
      <c r="N2" s="3"/>
      <c r="O2" s="3"/>
      <c r="Q2" s="4"/>
      <c r="R2" s="1"/>
      <c r="S2" s="1"/>
      <c r="T2" s="5"/>
      <c r="U2" s="3"/>
    </row>
    <row r="3" spans="1:21" ht="9" customHeight="1" thickBot="1">
      <c r="C3" s="8"/>
      <c r="E3" s="6"/>
      <c r="I3" s="8"/>
      <c r="K3"/>
      <c r="L3" s="8"/>
      <c r="O3"/>
      <c r="P3" s="9"/>
      <c r="Q3" s="6"/>
      <c r="S3" s="10"/>
      <c r="T3" s="8"/>
      <c r="U3"/>
    </row>
    <row r="4" spans="1:21" s="18" customFormat="1" ht="13.5" thickBot="1">
      <c r="A4" s="11" t="s">
        <v>0</v>
      </c>
      <c r="B4" s="12" t="s">
        <v>1</v>
      </c>
      <c r="C4" s="13" t="s">
        <v>2</v>
      </c>
      <c r="D4" s="14" t="s">
        <v>32</v>
      </c>
      <c r="E4" s="15" t="s">
        <v>34</v>
      </c>
      <c r="F4" s="16"/>
      <c r="G4" s="17"/>
      <c r="J4" s="19"/>
      <c r="K4" s="20"/>
    </row>
    <row r="5" spans="1:21">
      <c r="A5" s="21">
        <v>1</v>
      </c>
      <c r="B5" s="109" t="s">
        <v>29</v>
      </c>
      <c r="C5" s="23">
        <v>34144</v>
      </c>
      <c r="D5" s="67">
        <v>28.1829</v>
      </c>
      <c r="E5" s="69">
        <f>D33</f>
        <v>1014784.34572</v>
      </c>
      <c r="F5" s="26"/>
      <c r="G5" s="9"/>
      <c r="J5" s="10"/>
      <c r="M5"/>
      <c r="N5"/>
      <c r="O5"/>
      <c r="Q5"/>
      <c r="R5"/>
      <c r="S5"/>
      <c r="T5"/>
      <c r="U5"/>
    </row>
    <row r="6" spans="1:21" ht="15.75">
      <c r="A6" s="21">
        <v>2</v>
      </c>
      <c r="B6" s="60"/>
      <c r="C6" s="23"/>
      <c r="D6" s="64"/>
      <c r="E6" s="25"/>
      <c r="F6" s="26"/>
      <c r="G6" s="9"/>
      <c r="J6" s="10"/>
      <c r="M6"/>
      <c r="N6"/>
      <c r="O6"/>
      <c r="Q6"/>
      <c r="R6"/>
      <c r="S6"/>
      <c r="T6"/>
      <c r="U6"/>
    </row>
    <row r="7" spans="1:21">
      <c r="A7" s="21">
        <v>3</v>
      </c>
      <c r="B7" s="22"/>
      <c r="C7" s="23"/>
      <c r="D7" s="64"/>
      <c r="E7" s="25"/>
      <c r="F7" s="26"/>
      <c r="G7" s="9"/>
      <c r="J7" s="10"/>
      <c r="M7"/>
      <c r="N7"/>
      <c r="O7"/>
      <c r="Q7"/>
      <c r="R7"/>
      <c r="S7"/>
      <c r="T7"/>
      <c r="U7"/>
    </row>
    <row r="8" spans="1:21">
      <c r="A8" s="21">
        <v>4</v>
      </c>
      <c r="B8" s="22"/>
      <c r="C8" s="23"/>
      <c r="D8" s="64"/>
      <c r="E8" s="25"/>
      <c r="F8" s="26"/>
      <c r="G8" s="9"/>
      <c r="J8" s="10"/>
      <c r="M8"/>
      <c r="N8"/>
      <c r="O8"/>
      <c r="Q8"/>
      <c r="R8"/>
      <c r="S8"/>
      <c r="T8"/>
      <c r="U8"/>
    </row>
    <row r="9" spans="1:21">
      <c r="A9" s="21">
        <v>5</v>
      </c>
      <c r="B9" s="22"/>
      <c r="C9" s="23"/>
      <c r="D9" s="64"/>
      <c r="E9" s="25"/>
      <c r="F9" s="26"/>
      <c r="G9" s="9"/>
      <c r="J9" s="10"/>
      <c r="M9"/>
      <c r="N9"/>
      <c r="O9"/>
      <c r="Q9"/>
      <c r="R9"/>
      <c r="S9"/>
      <c r="T9"/>
      <c r="U9"/>
    </row>
    <row r="10" spans="1:21">
      <c r="A10" s="21">
        <v>6</v>
      </c>
      <c r="B10" s="22"/>
      <c r="C10" s="23"/>
      <c r="D10" s="64"/>
      <c r="E10" s="25"/>
      <c r="F10" s="26"/>
      <c r="G10" s="9"/>
      <c r="J10" s="10"/>
      <c r="M10"/>
      <c r="N10"/>
      <c r="O10"/>
      <c r="Q10"/>
      <c r="R10"/>
      <c r="S10"/>
      <c r="T10"/>
      <c r="U10"/>
    </row>
    <row r="11" spans="1:21">
      <c r="A11" s="21">
        <v>7</v>
      </c>
      <c r="B11" s="22"/>
      <c r="C11" s="23"/>
      <c r="D11" s="64"/>
      <c r="E11" s="25"/>
      <c r="F11" s="26"/>
      <c r="G11" s="9"/>
      <c r="J11" s="10"/>
      <c r="M11"/>
      <c r="N11"/>
      <c r="O11"/>
      <c r="Q11"/>
      <c r="R11"/>
      <c r="S11"/>
      <c r="T11"/>
      <c r="U11"/>
    </row>
    <row r="12" spans="1:21" s="37" customFormat="1" ht="23.25" customHeight="1" thickBot="1">
      <c r="A12" s="27"/>
      <c r="B12" s="28"/>
      <c r="C12" s="29"/>
      <c r="D12" s="68">
        <f>SUM(D5:D11)</f>
        <v>28.1829</v>
      </c>
      <c r="E12" s="31"/>
      <c r="F12" s="32"/>
      <c r="G12" s="33"/>
      <c r="H12" s="34"/>
      <c r="I12" s="34"/>
      <c r="J12" s="35"/>
      <c r="K12" s="36"/>
    </row>
    <row r="14" spans="1:21">
      <c r="M14" s="58"/>
      <c r="N14" s="59"/>
      <c r="P14" s="38"/>
    </row>
    <row r="15" spans="1:21">
      <c r="M15" s="58"/>
      <c r="N15" s="59"/>
      <c r="P15" s="38"/>
    </row>
    <row r="16" spans="1:21" s="8" customFormat="1" ht="15.75" thickBot="1">
      <c r="A16" s="6"/>
      <c r="B16"/>
      <c r="C16" s="7"/>
      <c r="F16" s="39"/>
      <c r="G16" s="6"/>
      <c r="H16" s="6"/>
      <c r="I16" s="6"/>
      <c r="L16" s="38"/>
      <c r="M16" s="59"/>
      <c r="N16" s="59"/>
      <c r="P16"/>
      <c r="Q16" s="9"/>
      <c r="R16" s="39"/>
      <c r="S16" s="39"/>
      <c r="T16" s="10"/>
    </row>
    <row r="17" spans="1:21" ht="16.5" customHeight="1" thickBot="1">
      <c r="B17" s="176" t="s">
        <v>9</v>
      </c>
      <c r="C17" s="177"/>
      <c r="D17" s="177"/>
      <c r="E17" s="178"/>
      <c r="L17" s="38"/>
    </row>
    <row r="18" spans="1:21" s="43" customFormat="1" ht="16.5" customHeight="1" thickBot="1">
      <c r="A18" s="40" t="s">
        <v>10</v>
      </c>
      <c r="B18" s="179" t="s">
        <v>11</v>
      </c>
      <c r="C18" s="180"/>
      <c r="D18" s="181" t="s">
        <v>12</v>
      </c>
      <c r="E18" s="180"/>
      <c r="F18" s="62"/>
      <c r="I18" s="192" t="s">
        <v>13</v>
      </c>
      <c r="J18" s="192"/>
      <c r="K18" s="42"/>
      <c r="L18" s="42"/>
      <c r="M18" s="42"/>
      <c r="N18" s="42"/>
      <c r="Q18" s="44"/>
      <c r="R18" s="41"/>
      <c r="S18" s="41"/>
      <c r="T18" s="45"/>
      <c r="U18" s="46"/>
    </row>
    <row r="19" spans="1:21" s="49" customFormat="1" ht="15.75" customHeight="1">
      <c r="A19" s="47">
        <v>1</v>
      </c>
      <c r="B19" s="154" t="s">
        <v>14</v>
      </c>
      <c r="C19" s="155"/>
      <c r="D19" s="156">
        <f>34144*28.1829</f>
        <v>962276.93759999995</v>
      </c>
      <c r="E19" s="157"/>
      <c r="F19" s="63"/>
      <c r="G19" s="186" t="s">
        <v>31</v>
      </c>
      <c r="H19" s="187"/>
      <c r="I19" s="186">
        <f>+(11.62+1717.94)*28.277</f>
        <v>48906.768120000001</v>
      </c>
      <c r="J19" s="187"/>
      <c r="K19" s="42"/>
      <c r="L19" s="42"/>
      <c r="M19" s="42"/>
      <c r="N19" s="42"/>
      <c r="Q19" s="50"/>
      <c r="R19" s="48"/>
      <c r="S19" s="48"/>
      <c r="T19" s="51"/>
      <c r="U19" s="52"/>
    </row>
    <row r="20" spans="1:21" s="49" customFormat="1" ht="15.75" customHeight="1">
      <c r="A20" s="53">
        <v>2</v>
      </c>
      <c r="B20" s="170" t="s">
        <v>15</v>
      </c>
      <c r="C20" s="171"/>
      <c r="D20" s="172">
        <v>2029</v>
      </c>
      <c r="E20" s="173"/>
      <c r="F20" s="63"/>
      <c r="G20" s="189"/>
      <c r="H20" s="173"/>
      <c r="I20" s="189"/>
      <c r="J20" s="173"/>
      <c r="K20" s="42"/>
      <c r="L20" s="42"/>
      <c r="M20" s="42"/>
      <c r="N20" s="42"/>
      <c r="Q20" s="50"/>
      <c r="R20" s="48"/>
      <c r="S20" s="48"/>
      <c r="T20" s="51"/>
      <c r="U20" s="52"/>
    </row>
    <row r="21" spans="1:21" s="49" customFormat="1" ht="15.75" customHeight="1">
      <c r="A21" s="53">
        <v>3</v>
      </c>
      <c r="B21" s="170" t="s">
        <v>16</v>
      </c>
      <c r="C21" s="171"/>
      <c r="D21" s="172">
        <v>896</v>
      </c>
      <c r="E21" s="173"/>
      <c r="F21" s="63"/>
      <c r="G21" s="189"/>
      <c r="H21" s="173"/>
      <c r="I21" s="189"/>
      <c r="J21" s="173"/>
      <c r="K21" s="42"/>
      <c r="L21" s="42"/>
      <c r="M21" s="42"/>
      <c r="N21" s="42"/>
      <c r="Q21" s="50"/>
      <c r="R21" s="48"/>
      <c r="S21" s="48"/>
      <c r="T21" s="51"/>
      <c r="U21" s="52"/>
    </row>
    <row r="22" spans="1:21" s="49" customFormat="1" ht="16.5" customHeight="1">
      <c r="A22" s="53">
        <v>4</v>
      </c>
      <c r="B22" s="170" t="s">
        <v>13</v>
      </c>
      <c r="C22" s="171"/>
      <c r="D22" s="172">
        <f>I30</f>
        <v>48906.768120000001</v>
      </c>
      <c r="E22" s="173"/>
      <c r="F22" s="63"/>
      <c r="G22" s="189"/>
      <c r="H22" s="173"/>
      <c r="I22" s="189"/>
      <c r="J22" s="173"/>
      <c r="K22" s="42"/>
      <c r="L22" s="42"/>
      <c r="M22" s="42"/>
      <c r="N22" s="42"/>
      <c r="Q22" s="50"/>
      <c r="R22" s="48"/>
      <c r="S22" s="48"/>
      <c r="T22" s="51"/>
      <c r="U22" s="52"/>
    </row>
    <row r="23" spans="1:21" s="49" customFormat="1" ht="15.75" customHeight="1">
      <c r="A23" s="53">
        <v>5</v>
      </c>
      <c r="B23" s="170" t="s">
        <v>24</v>
      </c>
      <c r="C23" s="171"/>
      <c r="D23" s="172">
        <v>0</v>
      </c>
      <c r="E23" s="173"/>
      <c r="F23" s="63"/>
      <c r="G23" s="189"/>
      <c r="H23" s="173"/>
      <c r="I23" s="189"/>
      <c r="J23" s="173"/>
      <c r="K23" s="42"/>
      <c r="L23" s="42"/>
      <c r="M23" s="42"/>
      <c r="N23" s="42"/>
      <c r="Q23" s="50"/>
      <c r="R23" s="48"/>
      <c r="S23" s="48"/>
      <c r="T23" s="51"/>
      <c r="U23" s="52"/>
    </row>
    <row r="24" spans="1:21" s="49" customFormat="1" ht="15.75" customHeight="1">
      <c r="A24" s="53">
        <v>6</v>
      </c>
      <c r="B24" s="170" t="s">
        <v>17</v>
      </c>
      <c r="C24" s="171"/>
      <c r="D24" s="172">
        <v>0</v>
      </c>
      <c r="E24" s="173"/>
      <c r="F24" s="63"/>
      <c r="G24" s="189"/>
      <c r="H24" s="173"/>
      <c r="I24" s="189"/>
      <c r="J24" s="173"/>
      <c r="K24" s="42"/>
      <c r="L24" s="42"/>
      <c r="M24" s="42"/>
      <c r="N24" s="42"/>
      <c r="Q24" s="50"/>
      <c r="R24" s="48"/>
      <c r="S24" s="48"/>
      <c r="T24" s="51"/>
      <c r="U24" s="52"/>
    </row>
    <row r="25" spans="1:21" s="49" customFormat="1" ht="15.75" customHeight="1">
      <c r="A25" s="53">
        <v>7</v>
      </c>
      <c r="B25" s="170" t="s">
        <v>18</v>
      </c>
      <c r="C25" s="171"/>
      <c r="D25" s="172"/>
      <c r="E25" s="173"/>
      <c r="F25" s="63"/>
      <c r="G25" s="189"/>
      <c r="H25" s="173"/>
      <c r="I25" s="189"/>
      <c r="J25" s="173"/>
      <c r="K25" s="42"/>
      <c r="L25" s="42"/>
      <c r="M25" s="42"/>
      <c r="N25" s="42"/>
      <c r="Q25" s="50"/>
      <c r="R25" s="48"/>
      <c r="S25" s="48"/>
      <c r="T25" s="51"/>
      <c r="U25" s="52"/>
    </row>
    <row r="26" spans="1:21" s="49" customFormat="1" ht="15.75" customHeight="1">
      <c r="A26" s="53">
        <v>8</v>
      </c>
      <c r="B26" s="158" t="s">
        <v>19</v>
      </c>
      <c r="C26" s="159"/>
      <c r="D26" s="168"/>
      <c r="E26" s="169"/>
      <c r="F26" s="63"/>
      <c r="G26" s="190"/>
      <c r="H26" s="191"/>
      <c r="I26" s="190"/>
      <c r="J26" s="191"/>
      <c r="K26" s="42"/>
      <c r="L26" s="42"/>
      <c r="M26" s="42"/>
      <c r="N26" s="42"/>
      <c r="Q26" s="50"/>
      <c r="R26" s="48"/>
      <c r="S26" s="48"/>
      <c r="T26" s="51"/>
      <c r="U26" s="52"/>
    </row>
    <row r="27" spans="1:21" s="49" customFormat="1" ht="15.75" customHeight="1">
      <c r="A27" s="54">
        <v>9</v>
      </c>
      <c r="B27" s="166" t="s">
        <v>20</v>
      </c>
      <c r="C27" s="167"/>
      <c r="D27" s="168">
        <v>0</v>
      </c>
      <c r="E27" s="169"/>
      <c r="F27" s="63"/>
      <c r="G27" s="190"/>
      <c r="H27" s="191"/>
      <c r="I27" s="190"/>
      <c r="J27" s="191"/>
      <c r="K27" s="42"/>
      <c r="L27" s="42"/>
      <c r="M27" s="42"/>
      <c r="N27" s="42"/>
      <c r="Q27" s="50"/>
      <c r="R27" s="48"/>
      <c r="S27" s="48"/>
      <c r="T27" s="51"/>
      <c r="U27" s="52"/>
    </row>
    <row r="28" spans="1:21" s="49" customFormat="1" ht="15.75" customHeight="1">
      <c r="A28" s="54">
        <v>10</v>
      </c>
      <c r="B28" s="166" t="s">
        <v>25</v>
      </c>
      <c r="C28" s="167"/>
      <c r="D28" s="168">
        <v>675.64</v>
      </c>
      <c r="E28" s="169"/>
      <c r="F28" s="63"/>
      <c r="G28" s="182"/>
      <c r="H28" s="183"/>
      <c r="I28" s="182"/>
      <c r="J28" s="183"/>
      <c r="K28" s="42"/>
      <c r="L28" s="42"/>
      <c r="M28" s="42"/>
      <c r="N28" s="42"/>
      <c r="Q28" s="50"/>
      <c r="R28" s="48"/>
      <c r="S28" s="48"/>
      <c r="T28" s="51"/>
      <c r="U28" s="52"/>
    </row>
    <row r="29" spans="1:21" s="49" customFormat="1" ht="16.5" customHeight="1" thickBot="1">
      <c r="A29" s="54">
        <v>11</v>
      </c>
      <c r="B29" s="158" t="s">
        <v>21</v>
      </c>
      <c r="C29" s="159"/>
      <c r="D29" s="160"/>
      <c r="E29" s="161"/>
      <c r="F29" s="63"/>
      <c r="G29" s="184"/>
      <c r="H29" s="185"/>
      <c r="I29" s="184"/>
      <c r="J29" s="185"/>
      <c r="K29" s="42"/>
      <c r="L29" s="42"/>
      <c r="M29" s="42"/>
      <c r="N29" s="42"/>
      <c r="Q29" s="50"/>
      <c r="R29" s="48"/>
      <c r="S29" s="48"/>
      <c r="T29" s="51"/>
      <c r="U29" s="52"/>
    </row>
    <row r="30" spans="1:21" s="49" customFormat="1" ht="17.25" thickBot="1">
      <c r="A30" s="55"/>
      <c r="B30" s="162" t="s">
        <v>22</v>
      </c>
      <c r="C30" s="163"/>
      <c r="D30" s="164">
        <f>SUM(D19:D29)</f>
        <v>1014784.34572</v>
      </c>
      <c r="E30" s="165"/>
      <c r="F30" s="63"/>
      <c r="G30" s="186"/>
      <c r="H30" s="187"/>
      <c r="I30" s="188">
        <f>SUM(I19:I29)</f>
        <v>48906.768120000001</v>
      </c>
      <c r="J30" s="165"/>
      <c r="K30" s="42"/>
      <c r="L30" s="42"/>
      <c r="M30" s="42"/>
      <c r="N30" s="42"/>
      <c r="O30" s="52"/>
      <c r="Q30" s="50"/>
      <c r="R30" s="48"/>
      <c r="S30" s="48"/>
      <c r="T30" s="51"/>
      <c r="U30" s="52"/>
    </row>
    <row r="31" spans="1:21" s="49" customFormat="1" ht="15.75">
      <c r="A31" s="47">
        <v>10</v>
      </c>
      <c r="B31" s="154" t="s">
        <v>8</v>
      </c>
      <c r="C31" s="155"/>
      <c r="D31" s="156">
        <v>0</v>
      </c>
      <c r="E31" s="157"/>
      <c r="F31" s="63"/>
      <c r="G31" s="48"/>
      <c r="H31" s="48"/>
      <c r="I31" s="48"/>
      <c r="J31" s="52"/>
      <c r="K31" s="52"/>
      <c r="M31" s="52"/>
      <c r="N31" s="52"/>
      <c r="O31" s="52"/>
      <c r="Q31" s="50"/>
      <c r="R31" s="48"/>
      <c r="S31" s="48"/>
      <c r="T31" s="51"/>
      <c r="U31" s="52"/>
    </row>
    <row r="32" spans="1:21" s="49" customFormat="1" ht="16.5" thickBot="1">
      <c r="A32" s="54">
        <v>11</v>
      </c>
      <c r="B32" s="158" t="s">
        <v>23</v>
      </c>
      <c r="C32" s="159"/>
      <c r="D32" s="160">
        <v>0</v>
      </c>
      <c r="E32" s="161"/>
      <c r="F32" s="63"/>
      <c r="G32" s="48"/>
      <c r="H32" s="48"/>
      <c r="I32" s="48"/>
      <c r="J32" s="52"/>
      <c r="K32" s="52"/>
      <c r="M32" s="52"/>
      <c r="N32" s="52"/>
      <c r="O32" s="52"/>
      <c r="Q32" s="50"/>
      <c r="R32" s="48"/>
      <c r="S32" s="48"/>
      <c r="T32" s="51"/>
      <c r="U32" s="52"/>
    </row>
    <row r="33" spans="1:21" s="49" customFormat="1" ht="17.25" thickBot="1">
      <c r="A33" s="55"/>
      <c r="B33" s="162" t="s">
        <v>22</v>
      </c>
      <c r="C33" s="163"/>
      <c r="D33" s="164">
        <f>SUM(D30:D32)</f>
        <v>1014784.34572</v>
      </c>
      <c r="E33" s="165"/>
      <c r="F33" s="63"/>
      <c r="G33" s="48"/>
      <c r="H33" s="48"/>
      <c r="I33" s="66"/>
      <c r="J33" s="52"/>
      <c r="K33" s="52"/>
      <c r="M33" s="52"/>
      <c r="N33" s="52"/>
      <c r="O33" s="52"/>
      <c r="Q33" s="50"/>
      <c r="R33" s="48"/>
      <c r="S33" s="48"/>
      <c r="T33" s="51"/>
      <c r="U33" s="52"/>
    </row>
    <row r="34" spans="1:21">
      <c r="D34" s="153"/>
      <c r="E34" s="153"/>
      <c r="M34" s="56"/>
    </row>
    <row r="35" spans="1:21">
      <c r="D35" s="57"/>
      <c r="E35" s="57"/>
      <c r="M35" s="56"/>
    </row>
    <row r="36" spans="1:21">
      <c r="D36" s="57"/>
      <c r="E36" s="57"/>
    </row>
  </sheetData>
  <mergeCells count="61">
    <mergeCell ref="C2:E2"/>
    <mergeCell ref="G2:K2"/>
    <mergeCell ref="B17:E17"/>
    <mergeCell ref="B18:C18"/>
    <mergeCell ref="D18:E18"/>
    <mergeCell ref="I18:J18"/>
    <mergeCell ref="B19:C19"/>
    <mergeCell ref="D19:E19"/>
    <mergeCell ref="G19:H19"/>
    <mergeCell ref="I19:J19"/>
    <mergeCell ref="B20:C20"/>
    <mergeCell ref="D20:E20"/>
    <mergeCell ref="G20:H20"/>
    <mergeCell ref="I20:J20"/>
    <mergeCell ref="B21:C21"/>
    <mergeCell ref="D21:E21"/>
    <mergeCell ref="G21:H21"/>
    <mergeCell ref="I21:J21"/>
    <mergeCell ref="B22:C22"/>
    <mergeCell ref="D22:E22"/>
    <mergeCell ref="G22:H22"/>
    <mergeCell ref="I22:J22"/>
    <mergeCell ref="B23:C23"/>
    <mergeCell ref="D23:E23"/>
    <mergeCell ref="G23:H23"/>
    <mergeCell ref="I23:J23"/>
    <mergeCell ref="B24:C24"/>
    <mergeCell ref="D24:E24"/>
    <mergeCell ref="G24:H24"/>
    <mergeCell ref="I24:J24"/>
    <mergeCell ref="B25:C25"/>
    <mergeCell ref="D25:E25"/>
    <mergeCell ref="G25:H25"/>
    <mergeCell ref="I25:J25"/>
    <mergeCell ref="B26:C26"/>
    <mergeCell ref="D26:E26"/>
    <mergeCell ref="G26:H26"/>
    <mergeCell ref="I26:J26"/>
    <mergeCell ref="B27:C27"/>
    <mergeCell ref="D27:E27"/>
    <mergeCell ref="G27:H27"/>
    <mergeCell ref="I27:J27"/>
    <mergeCell ref="B28:C28"/>
    <mergeCell ref="D28:E28"/>
    <mergeCell ref="G28:H28"/>
    <mergeCell ref="I28:J28"/>
    <mergeCell ref="B29:C29"/>
    <mergeCell ref="D29:E29"/>
    <mergeCell ref="G29:H29"/>
    <mergeCell ref="I29:J29"/>
    <mergeCell ref="B30:C30"/>
    <mergeCell ref="D30:E30"/>
    <mergeCell ref="G30:H30"/>
    <mergeCell ref="I30:J30"/>
    <mergeCell ref="D34:E34"/>
    <mergeCell ref="B31:C31"/>
    <mergeCell ref="D31:E31"/>
    <mergeCell ref="B32:C32"/>
    <mergeCell ref="D32:E32"/>
    <mergeCell ref="B33:C33"/>
    <mergeCell ref="D33:E3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V35"/>
  <sheetViews>
    <sheetView topLeftCell="A10" workbookViewId="0">
      <selection activeCell="F32" sqref="F32:J35"/>
    </sheetView>
  </sheetViews>
  <sheetFormatPr defaultRowHeight="15"/>
  <cols>
    <col min="1" max="1" width="2.85546875" style="119" customWidth="1"/>
    <col min="2" max="2" width="4.28515625" style="119" customWidth="1"/>
    <col min="3" max="3" width="23.85546875" style="119" customWidth="1"/>
    <col min="4" max="4" width="5.140625" style="119" customWidth="1"/>
    <col min="5" max="5" width="7" style="119" customWidth="1"/>
    <col min="6" max="6" width="11.5703125" style="120" bestFit="1" customWidth="1"/>
    <col min="7" max="7" width="5.85546875" style="119" customWidth="1"/>
    <col min="8" max="8" width="14.5703125" style="120" bestFit="1" customWidth="1"/>
    <col min="9" max="9" width="12.7109375" style="120" bestFit="1" customWidth="1"/>
    <col min="10" max="10" width="13.5703125" style="120" customWidth="1"/>
    <col min="11" max="13" width="12.7109375" style="120" customWidth="1"/>
    <col min="14" max="14" width="16.28515625" style="120" customWidth="1"/>
    <col min="15" max="15" width="4.42578125" style="119" customWidth="1"/>
    <col min="16" max="16" width="6.42578125" style="119" customWidth="1"/>
    <col min="17" max="17" width="4.7109375" style="119" customWidth="1"/>
    <col min="18" max="20" width="12.7109375" style="120" bestFit="1" customWidth="1"/>
    <col min="21" max="21" width="14.5703125" style="120" bestFit="1" customWidth="1"/>
    <col min="22" max="22" width="11.42578125" style="119" bestFit="1" customWidth="1"/>
    <col min="23" max="16384" width="9.140625" style="119"/>
  </cols>
  <sheetData>
    <row r="1" spans="2:21" ht="15.75" thickBot="1">
      <c r="C1" s="118" t="s">
        <v>90</v>
      </c>
    </row>
    <row r="2" spans="2:21">
      <c r="B2" s="136"/>
      <c r="C2" s="137" t="s">
        <v>54</v>
      </c>
      <c r="D2" s="137" t="s">
        <v>72</v>
      </c>
      <c r="E2" s="137" t="s">
        <v>73</v>
      </c>
      <c r="F2" s="138"/>
      <c r="G2" s="137"/>
      <c r="H2" s="139" t="s">
        <v>14</v>
      </c>
      <c r="I2" s="138" t="s">
        <v>85</v>
      </c>
      <c r="J2" s="138"/>
      <c r="K2" s="138" t="s">
        <v>44</v>
      </c>
      <c r="L2" s="138" t="s">
        <v>86</v>
      </c>
      <c r="M2" s="138"/>
      <c r="N2" s="140" t="s">
        <v>87</v>
      </c>
      <c r="R2" s="120" t="s">
        <v>77</v>
      </c>
      <c r="S2" s="120" t="s">
        <v>78</v>
      </c>
      <c r="T2" s="120" t="s">
        <v>79</v>
      </c>
      <c r="U2" s="120" t="s">
        <v>33</v>
      </c>
    </row>
    <row r="3" spans="2:21">
      <c r="B3" s="141">
        <v>1</v>
      </c>
      <c r="C3" s="142" t="s">
        <v>49</v>
      </c>
      <c r="D3" s="142">
        <v>1</v>
      </c>
      <c r="E3" s="142">
        <v>1750</v>
      </c>
      <c r="F3" s="143">
        <f>D3*E3</f>
        <v>1750</v>
      </c>
      <c r="G3" s="142">
        <v>18</v>
      </c>
      <c r="H3" s="143">
        <v>83628</v>
      </c>
      <c r="I3" s="143">
        <f>T20</f>
        <v>14338.039999999997</v>
      </c>
      <c r="J3" s="143">
        <v>65486.17</v>
      </c>
      <c r="K3" s="143">
        <f>F3/J3</f>
        <v>2.6723199722933865E-2</v>
      </c>
      <c r="L3" s="143">
        <f>2302.57*28.7123</f>
        <v>66112.080610999998</v>
      </c>
      <c r="M3" s="143">
        <f>K3*L3</f>
        <v>1766.7263342664564</v>
      </c>
      <c r="N3" s="144">
        <f>H3+I3+M3</f>
        <v>99732.766334266445</v>
      </c>
      <c r="O3" s="132" t="s">
        <v>81</v>
      </c>
      <c r="Q3" s="119">
        <v>1</v>
      </c>
      <c r="R3" s="120">
        <v>1624.65</v>
      </c>
      <c r="S3" s="120">
        <v>270.77999999999997</v>
      </c>
      <c r="T3" s="120">
        <f>U3-R3-S3</f>
        <v>3057.12</v>
      </c>
      <c r="U3" s="120">
        <v>4952.55</v>
      </c>
    </row>
    <row r="4" spans="2:21">
      <c r="B4" s="141">
        <v>2</v>
      </c>
      <c r="C4" s="142" t="s">
        <v>50</v>
      </c>
      <c r="D4" s="142">
        <v>2</v>
      </c>
      <c r="E4" s="142">
        <v>65</v>
      </c>
      <c r="F4" s="143">
        <f t="shared" ref="F4:F28" si="0">D4*E4</f>
        <v>130</v>
      </c>
      <c r="G4" s="142">
        <v>17</v>
      </c>
      <c r="H4" s="143">
        <v>4996</v>
      </c>
      <c r="I4" s="143">
        <f>T19</f>
        <v>856.60000000000014</v>
      </c>
      <c r="J4" s="143">
        <v>65486.17</v>
      </c>
      <c r="K4" s="143">
        <f t="shared" ref="K4:K28" si="1">F4/J4</f>
        <v>1.9851519794179444E-3</v>
      </c>
      <c r="L4" s="143">
        <f t="shared" ref="L4:L28" si="2">2302.57*28.7123</f>
        <v>66112.080610999998</v>
      </c>
      <c r="M4" s="143">
        <f t="shared" ref="M4:M28" si="3">K4*L4</f>
        <v>131.24252768836536</v>
      </c>
      <c r="N4" s="144">
        <f t="shared" ref="N4:N28" si="4">H4+I4+M4</f>
        <v>5983.8425276883654</v>
      </c>
      <c r="O4" s="133" t="s">
        <v>83</v>
      </c>
      <c r="Q4" s="119">
        <v>2</v>
      </c>
      <c r="R4" s="120">
        <v>1018.05</v>
      </c>
      <c r="S4" s="120">
        <v>169.68</v>
      </c>
      <c r="T4" s="120">
        <f t="shared" ref="T4:T27" si="5">U4-R4-S4</f>
        <v>1915.66</v>
      </c>
      <c r="U4" s="120">
        <v>3103.39</v>
      </c>
    </row>
    <row r="5" spans="2:21">
      <c r="B5" s="141">
        <v>3</v>
      </c>
      <c r="C5" s="142" t="s">
        <v>51</v>
      </c>
      <c r="D5" s="142"/>
      <c r="E5" s="142"/>
      <c r="F5" s="143">
        <v>4788.8</v>
      </c>
      <c r="G5" s="142">
        <v>7</v>
      </c>
      <c r="H5" s="143">
        <v>1400789</v>
      </c>
      <c r="I5" s="143">
        <f>T9</f>
        <v>318259.25</v>
      </c>
      <c r="J5" s="143">
        <v>65486.17</v>
      </c>
      <c r="K5" s="143">
        <f t="shared" si="1"/>
        <v>7.3126890761820398E-2</v>
      </c>
      <c r="L5" s="143">
        <f t="shared" si="2"/>
        <v>66112.080610999998</v>
      </c>
      <c r="M5" s="143">
        <f t="shared" si="3"/>
        <v>4834.5708968772615</v>
      </c>
      <c r="N5" s="144">
        <f t="shared" si="4"/>
        <v>1723882.8208968772</v>
      </c>
      <c r="O5" s="132" t="s">
        <v>82</v>
      </c>
      <c r="Q5" s="119">
        <v>3</v>
      </c>
      <c r="R5" s="120">
        <v>4921.95</v>
      </c>
      <c r="S5" s="120">
        <v>662.88</v>
      </c>
      <c r="T5" s="120">
        <f t="shared" si="5"/>
        <v>14505.570000000002</v>
      </c>
      <c r="U5" s="120">
        <v>20090.400000000001</v>
      </c>
    </row>
    <row r="6" spans="2:21">
      <c r="B6" s="141">
        <v>4</v>
      </c>
      <c r="C6" s="142" t="s">
        <v>52</v>
      </c>
      <c r="D6" s="142">
        <v>1</v>
      </c>
      <c r="E6" s="142">
        <v>5500</v>
      </c>
      <c r="F6" s="143">
        <f t="shared" si="0"/>
        <v>5500</v>
      </c>
      <c r="G6" s="142">
        <v>19.100000000000001</v>
      </c>
      <c r="H6" s="143">
        <f>T31</f>
        <v>179350.05988023951</v>
      </c>
      <c r="I6" s="143">
        <f>U31</f>
        <v>30749.577844311374</v>
      </c>
      <c r="J6" s="143">
        <v>65486.17</v>
      </c>
      <c r="K6" s="143">
        <f t="shared" si="1"/>
        <v>8.3987199129220716E-2</v>
      </c>
      <c r="L6" s="143">
        <f t="shared" si="2"/>
        <v>66112.080610999998</v>
      </c>
      <c r="M6" s="143">
        <f t="shared" si="3"/>
        <v>5552.5684791231488</v>
      </c>
      <c r="N6" s="144">
        <f t="shared" si="4"/>
        <v>215652.20620367402</v>
      </c>
      <c r="O6" s="132" t="s">
        <v>81</v>
      </c>
      <c r="Q6" s="119">
        <v>4</v>
      </c>
      <c r="R6" s="120">
        <v>5227.2</v>
      </c>
      <c r="S6" s="120">
        <v>704.01</v>
      </c>
      <c r="T6" s="120">
        <f t="shared" si="5"/>
        <v>15405.479999999998</v>
      </c>
      <c r="U6" s="120">
        <v>21336.69</v>
      </c>
    </row>
    <row r="7" spans="2:21">
      <c r="B7" s="141">
        <v>5</v>
      </c>
      <c r="C7" s="142" t="s">
        <v>53</v>
      </c>
      <c r="D7" s="142">
        <v>1</v>
      </c>
      <c r="E7" s="142">
        <v>11200</v>
      </c>
      <c r="F7" s="143">
        <f t="shared" si="0"/>
        <v>11200</v>
      </c>
      <c r="G7" s="142">
        <v>19.2</v>
      </c>
      <c r="H7" s="143">
        <f>T32</f>
        <v>365221.94011976046</v>
      </c>
      <c r="I7" s="143">
        <f>U32</f>
        <v>62617.322155688613</v>
      </c>
      <c r="J7" s="143">
        <v>65486.17</v>
      </c>
      <c r="K7" s="143">
        <f t="shared" si="1"/>
        <v>0.17102847822677675</v>
      </c>
      <c r="L7" s="143">
        <f t="shared" si="2"/>
        <v>66112.080610999998</v>
      </c>
      <c r="M7" s="143">
        <f t="shared" si="3"/>
        <v>11307.048539305322</v>
      </c>
      <c r="N7" s="144">
        <f t="shared" si="4"/>
        <v>439146.3108147544</v>
      </c>
      <c r="O7" s="132" t="s">
        <v>81</v>
      </c>
      <c r="Q7" s="119">
        <v>5</v>
      </c>
      <c r="R7" s="120">
        <v>3046.35</v>
      </c>
      <c r="S7" s="120">
        <v>609.27</v>
      </c>
      <c r="T7" s="120">
        <f t="shared" si="5"/>
        <v>14.220000000000255</v>
      </c>
      <c r="U7" s="120">
        <v>3669.84</v>
      </c>
    </row>
    <row r="8" spans="2:21">
      <c r="B8" s="141">
        <v>6</v>
      </c>
      <c r="C8" s="142" t="s">
        <v>55</v>
      </c>
      <c r="D8" s="142">
        <v>1</v>
      </c>
      <c r="E8" s="142">
        <v>9792</v>
      </c>
      <c r="F8" s="143">
        <f t="shared" si="0"/>
        <v>9792</v>
      </c>
      <c r="G8" s="142">
        <v>14</v>
      </c>
      <c r="H8" s="143">
        <v>613771</v>
      </c>
      <c r="I8" s="143">
        <f>T16</f>
        <v>139448.74</v>
      </c>
      <c r="J8" s="143">
        <v>65486.17</v>
      </c>
      <c r="K8" s="143">
        <f t="shared" si="1"/>
        <v>0.14952775524969625</v>
      </c>
      <c r="L8" s="143">
        <f t="shared" si="2"/>
        <v>66112.080610999998</v>
      </c>
      <c r="M8" s="143">
        <f t="shared" si="3"/>
        <v>9885.591008649797</v>
      </c>
      <c r="N8" s="144">
        <f t="shared" si="4"/>
        <v>763105.33100864978</v>
      </c>
      <c r="O8" s="132" t="s">
        <v>81</v>
      </c>
      <c r="Q8" s="119">
        <v>6</v>
      </c>
      <c r="R8" s="120">
        <v>2130.6</v>
      </c>
      <c r="S8" s="120">
        <v>387.39</v>
      </c>
      <c r="T8" s="120">
        <f t="shared" si="5"/>
        <v>2933.84</v>
      </c>
      <c r="U8" s="120">
        <v>5451.83</v>
      </c>
    </row>
    <row r="9" spans="2:21">
      <c r="B9" s="141">
        <v>7</v>
      </c>
      <c r="C9" s="142" t="s">
        <v>56</v>
      </c>
      <c r="D9" s="142">
        <v>2</v>
      </c>
      <c r="E9" s="142">
        <v>243</v>
      </c>
      <c r="F9" s="143">
        <f t="shared" si="0"/>
        <v>486</v>
      </c>
      <c r="G9" s="142">
        <v>13</v>
      </c>
      <c r="H9" s="143">
        <v>16849</v>
      </c>
      <c r="I9" s="143">
        <f>T15</f>
        <v>3828.0899999999992</v>
      </c>
      <c r="J9" s="143">
        <v>65486.17</v>
      </c>
      <c r="K9" s="143">
        <f t="shared" si="1"/>
        <v>7.4214143230547768E-3</v>
      </c>
      <c r="L9" s="143">
        <f t="shared" si="2"/>
        <v>66112.080610999998</v>
      </c>
      <c r="M9" s="143">
        <f t="shared" si="3"/>
        <v>490.64514197342737</v>
      </c>
      <c r="N9" s="144">
        <f t="shared" si="4"/>
        <v>21167.735141973426</v>
      </c>
      <c r="O9" s="133" t="s">
        <v>83</v>
      </c>
      <c r="Q9" s="119">
        <v>7</v>
      </c>
      <c r="R9" s="120">
        <v>231130.2</v>
      </c>
      <c r="S9" s="120">
        <v>42023.67</v>
      </c>
      <c r="T9" s="120">
        <f t="shared" si="5"/>
        <v>318259.25</v>
      </c>
      <c r="U9" s="120">
        <v>591413.12</v>
      </c>
    </row>
    <row r="10" spans="2:21">
      <c r="B10" s="141">
        <v>8</v>
      </c>
      <c r="C10" s="142" t="s">
        <v>57</v>
      </c>
      <c r="D10" s="142">
        <v>1</v>
      </c>
      <c r="E10" s="142">
        <v>37</v>
      </c>
      <c r="F10" s="143">
        <f t="shared" si="0"/>
        <v>37</v>
      </c>
      <c r="G10" s="142">
        <v>20</v>
      </c>
      <c r="H10" s="143">
        <v>7426</v>
      </c>
      <c r="I10" s="143">
        <f>T22</f>
        <v>1273.2000000000003</v>
      </c>
      <c r="J10" s="143">
        <v>65486.17</v>
      </c>
      <c r="K10" s="143">
        <f t="shared" si="1"/>
        <v>5.6500479414203027E-4</v>
      </c>
      <c r="L10" s="143">
        <f t="shared" si="2"/>
        <v>66112.080610999998</v>
      </c>
      <c r="M10" s="143">
        <f t="shared" si="3"/>
        <v>37.353642495919367</v>
      </c>
      <c r="N10" s="144">
        <f t="shared" si="4"/>
        <v>8736.5536424959209</v>
      </c>
      <c r="O10" s="133" t="s">
        <v>83</v>
      </c>
      <c r="Q10" s="119">
        <v>8</v>
      </c>
      <c r="R10" s="120">
        <v>29361</v>
      </c>
      <c r="S10" s="120">
        <v>4893.51</v>
      </c>
      <c r="T10" s="120">
        <f t="shared" si="5"/>
        <v>55247.68</v>
      </c>
      <c r="U10" s="120">
        <v>89502.19</v>
      </c>
    </row>
    <row r="11" spans="2:21">
      <c r="B11" s="141">
        <v>9</v>
      </c>
      <c r="C11" s="142" t="s">
        <v>80</v>
      </c>
      <c r="D11" s="142">
        <v>1</v>
      </c>
      <c r="E11" s="142">
        <v>75</v>
      </c>
      <c r="F11" s="143">
        <v>85</v>
      </c>
      <c r="G11" s="142"/>
      <c r="H11" s="143">
        <v>2556</v>
      </c>
      <c r="I11" s="143">
        <f>T26</f>
        <v>438.19</v>
      </c>
      <c r="J11" s="143">
        <v>65486.17</v>
      </c>
      <c r="K11" s="143">
        <f t="shared" si="1"/>
        <v>1.2979839865425022E-3</v>
      </c>
      <c r="L11" s="143">
        <f t="shared" si="2"/>
        <v>66112.080610999998</v>
      </c>
      <c r="M11" s="143">
        <f t="shared" si="3"/>
        <v>85.812421950085039</v>
      </c>
      <c r="N11" s="144">
        <f t="shared" si="4"/>
        <v>3080.0024219500851</v>
      </c>
      <c r="O11" s="133" t="s">
        <v>83</v>
      </c>
      <c r="Q11" s="119">
        <v>9</v>
      </c>
      <c r="R11" s="120">
        <v>100796.7</v>
      </c>
      <c r="S11" s="120">
        <v>16799.46</v>
      </c>
      <c r="T11" s="120">
        <f t="shared" si="5"/>
        <v>189665.88999999998</v>
      </c>
      <c r="U11" s="120">
        <v>307262.05</v>
      </c>
    </row>
    <row r="12" spans="2:21">
      <c r="B12" s="141">
        <v>10</v>
      </c>
      <c r="C12" s="142" t="s">
        <v>58</v>
      </c>
      <c r="D12" s="142">
        <v>20</v>
      </c>
      <c r="E12" s="142">
        <v>15</v>
      </c>
      <c r="F12" s="143">
        <f t="shared" si="0"/>
        <v>300</v>
      </c>
      <c r="G12" s="142">
        <v>23</v>
      </c>
      <c r="H12" s="143">
        <v>9026</v>
      </c>
      <c r="I12" s="143">
        <f>T25</f>
        <v>3057.12</v>
      </c>
      <c r="J12" s="143">
        <v>65486.17</v>
      </c>
      <c r="K12" s="143">
        <f t="shared" si="1"/>
        <v>4.5811199525029487E-3</v>
      </c>
      <c r="L12" s="143">
        <f t="shared" si="2"/>
        <v>66112.080610999998</v>
      </c>
      <c r="M12" s="143">
        <f t="shared" si="3"/>
        <v>302.86737158853543</v>
      </c>
      <c r="N12" s="144">
        <f t="shared" si="4"/>
        <v>12385.987371588535</v>
      </c>
      <c r="O12" s="133" t="s">
        <v>83</v>
      </c>
      <c r="Q12" s="119">
        <v>10</v>
      </c>
      <c r="R12" s="120">
        <v>2383.0500000000002</v>
      </c>
      <c r="S12" s="120">
        <v>397.17</v>
      </c>
      <c r="T12" s="120">
        <f t="shared" si="5"/>
        <v>4484.07</v>
      </c>
      <c r="U12" s="120">
        <v>7264.29</v>
      </c>
    </row>
    <row r="13" spans="2:21">
      <c r="B13" s="141">
        <v>11</v>
      </c>
      <c r="C13" s="142" t="s">
        <v>59</v>
      </c>
      <c r="D13" s="142">
        <v>2</v>
      </c>
      <c r="E13" s="142">
        <v>323.5</v>
      </c>
      <c r="F13" s="143">
        <f t="shared" si="0"/>
        <v>647</v>
      </c>
      <c r="G13" s="142">
        <v>15</v>
      </c>
      <c r="H13" s="143">
        <v>19466</v>
      </c>
      <c r="I13" s="143">
        <f>T17</f>
        <v>3337.4300000000003</v>
      </c>
      <c r="J13" s="143">
        <v>65486.17</v>
      </c>
      <c r="K13" s="143">
        <f t="shared" si="1"/>
        <v>9.879948697564693E-3</v>
      </c>
      <c r="L13" s="143">
        <f t="shared" si="2"/>
        <v>66112.080610999998</v>
      </c>
      <c r="M13" s="143">
        <f t="shared" si="3"/>
        <v>653.18396472594145</v>
      </c>
      <c r="N13" s="144">
        <f t="shared" si="4"/>
        <v>23456.613964725941</v>
      </c>
      <c r="O13" s="133" t="s">
        <v>83</v>
      </c>
      <c r="Q13" s="119">
        <v>11</v>
      </c>
      <c r="R13" s="120">
        <v>10325.85</v>
      </c>
      <c r="S13" s="120">
        <v>1877.43</v>
      </c>
      <c r="T13" s="120">
        <f t="shared" si="5"/>
        <v>14218.409999999998</v>
      </c>
      <c r="U13" s="120">
        <v>26421.69</v>
      </c>
    </row>
    <row r="14" spans="2:21">
      <c r="B14" s="141">
        <v>12</v>
      </c>
      <c r="C14" s="142" t="s">
        <v>60</v>
      </c>
      <c r="D14" s="142">
        <v>20</v>
      </c>
      <c r="E14" s="142">
        <v>16.2</v>
      </c>
      <c r="F14" s="143">
        <f t="shared" si="0"/>
        <v>324</v>
      </c>
      <c r="G14" s="142">
        <v>6</v>
      </c>
      <c r="H14" s="143">
        <v>12913</v>
      </c>
      <c r="I14" s="143">
        <f>T8</f>
        <v>2933.84</v>
      </c>
      <c r="J14" s="143">
        <v>65486.17</v>
      </c>
      <c r="K14" s="143">
        <f t="shared" si="1"/>
        <v>4.947609548703184E-3</v>
      </c>
      <c r="L14" s="143">
        <f t="shared" si="2"/>
        <v>66112.080610999998</v>
      </c>
      <c r="M14" s="143">
        <f t="shared" si="3"/>
        <v>327.09676131561821</v>
      </c>
      <c r="N14" s="144">
        <f t="shared" si="4"/>
        <v>16173.936761315619</v>
      </c>
      <c r="O14" s="133" t="s">
        <v>83</v>
      </c>
      <c r="Q14" s="119">
        <v>12</v>
      </c>
      <c r="R14" s="120">
        <v>258.3</v>
      </c>
      <c r="S14" s="120">
        <v>46.95</v>
      </c>
      <c r="T14" s="120">
        <f t="shared" si="5"/>
        <v>355.6</v>
      </c>
      <c r="U14" s="120">
        <v>660.85</v>
      </c>
    </row>
    <row r="15" spans="2:21">
      <c r="B15" s="141">
        <v>13</v>
      </c>
      <c r="C15" s="142" t="s">
        <v>61</v>
      </c>
      <c r="D15" s="142">
        <v>80</v>
      </c>
      <c r="E15" s="142">
        <v>1.84</v>
      </c>
      <c r="F15" s="143">
        <f t="shared" si="0"/>
        <v>147.20000000000002</v>
      </c>
      <c r="G15" s="142">
        <v>16</v>
      </c>
      <c r="H15" s="143">
        <v>4429</v>
      </c>
      <c r="I15" s="143">
        <f>T18</f>
        <v>759.35</v>
      </c>
      <c r="J15" s="143">
        <v>65486.17</v>
      </c>
      <c r="K15" s="143">
        <f t="shared" si="1"/>
        <v>2.2478028566947804E-3</v>
      </c>
      <c r="L15" s="143">
        <f t="shared" si="2"/>
        <v>66112.080610999998</v>
      </c>
      <c r="M15" s="143">
        <f t="shared" si="3"/>
        <v>148.60692365944141</v>
      </c>
      <c r="N15" s="144">
        <f t="shared" si="4"/>
        <v>5336.9569236594416</v>
      </c>
      <c r="O15" s="133" t="s">
        <v>83</v>
      </c>
      <c r="Q15" s="119">
        <v>13</v>
      </c>
      <c r="R15" s="120">
        <v>2780.1</v>
      </c>
      <c r="S15" s="120">
        <v>505.47</v>
      </c>
      <c r="T15" s="120">
        <f t="shared" si="5"/>
        <v>3828.0899999999992</v>
      </c>
      <c r="U15" s="120">
        <v>7113.66</v>
      </c>
    </row>
    <row r="16" spans="2:21">
      <c r="B16" s="141">
        <v>14</v>
      </c>
      <c r="C16" s="142" t="s">
        <v>74</v>
      </c>
      <c r="D16" s="142"/>
      <c r="E16" s="142"/>
      <c r="F16" s="143">
        <v>18612.2</v>
      </c>
      <c r="G16" s="142">
        <v>9</v>
      </c>
      <c r="H16" s="143">
        <v>559982</v>
      </c>
      <c r="I16" s="143">
        <f>T11</f>
        <v>189665.88999999998</v>
      </c>
      <c r="J16" s="143">
        <v>65486.17</v>
      </c>
      <c r="K16" s="143">
        <f t="shared" si="1"/>
        <v>0.28421573593325128</v>
      </c>
      <c r="L16" s="143">
        <f t="shared" si="2"/>
        <v>66112.080610999998</v>
      </c>
      <c r="M16" s="143">
        <f t="shared" si="3"/>
        <v>18790.093644933797</v>
      </c>
      <c r="N16" s="144">
        <f t="shared" si="4"/>
        <v>768437.98364493379</v>
      </c>
      <c r="O16" s="133" t="s">
        <v>83</v>
      </c>
      <c r="Q16" s="119">
        <v>14</v>
      </c>
      <c r="R16" s="120">
        <v>101272.2</v>
      </c>
      <c r="S16" s="120">
        <v>18413.13</v>
      </c>
      <c r="T16" s="120">
        <f t="shared" si="5"/>
        <v>139448.74</v>
      </c>
      <c r="U16" s="120">
        <v>259134.07</v>
      </c>
    </row>
    <row r="17" spans="2:22">
      <c r="B17" s="141">
        <v>15</v>
      </c>
      <c r="C17" s="142" t="s">
        <v>62</v>
      </c>
      <c r="D17" s="142"/>
      <c r="E17" s="142"/>
      <c r="F17" s="143">
        <v>5421.57</v>
      </c>
      <c r="G17" s="142">
        <v>8</v>
      </c>
      <c r="H17" s="143">
        <v>163117</v>
      </c>
      <c r="I17" s="143">
        <f>T10</f>
        <v>55247.68</v>
      </c>
      <c r="J17" s="143">
        <v>65486.17</v>
      </c>
      <c r="K17" s="143">
        <f t="shared" si="1"/>
        <v>8.2789541669638034E-2</v>
      </c>
      <c r="L17" s="143">
        <f t="shared" si="2"/>
        <v>66112.080610999998</v>
      </c>
      <c r="M17" s="143">
        <f t="shared" si="3"/>
        <v>5473.3888526108531</v>
      </c>
      <c r="N17" s="144">
        <f t="shared" si="4"/>
        <v>223838.06885261086</v>
      </c>
      <c r="O17" s="133" t="s">
        <v>83</v>
      </c>
      <c r="Q17" s="119">
        <v>15</v>
      </c>
      <c r="R17" s="120">
        <v>3065.85</v>
      </c>
      <c r="S17" s="120">
        <v>583.98</v>
      </c>
      <c r="T17" s="120">
        <f t="shared" si="5"/>
        <v>3337.4300000000003</v>
      </c>
      <c r="U17" s="120">
        <v>6987.26</v>
      </c>
    </row>
    <row r="18" spans="2:22">
      <c r="B18" s="141">
        <v>16</v>
      </c>
      <c r="C18" s="142" t="s">
        <v>76</v>
      </c>
      <c r="D18" s="142"/>
      <c r="E18" s="142"/>
      <c r="F18" s="143">
        <v>2080</v>
      </c>
      <c r="G18" s="142">
        <v>11</v>
      </c>
      <c r="H18" s="143">
        <v>62581</v>
      </c>
      <c r="I18" s="143">
        <f>T13</f>
        <v>14218.409999999998</v>
      </c>
      <c r="J18" s="143">
        <v>65486.17</v>
      </c>
      <c r="K18" s="143">
        <f t="shared" si="1"/>
        <v>3.1762431670687111E-2</v>
      </c>
      <c r="L18" s="143">
        <f t="shared" si="2"/>
        <v>66112.080610999998</v>
      </c>
      <c r="M18" s="143">
        <f t="shared" si="3"/>
        <v>2099.8804430138457</v>
      </c>
      <c r="N18" s="144">
        <f t="shared" si="4"/>
        <v>78899.290443013844</v>
      </c>
      <c r="O18" s="133" t="s">
        <v>83</v>
      </c>
      <c r="Q18" s="119">
        <v>16</v>
      </c>
      <c r="R18" s="120">
        <v>697.5</v>
      </c>
      <c r="S18" s="120">
        <v>132.87</v>
      </c>
      <c r="T18" s="120">
        <f t="shared" si="5"/>
        <v>759.35</v>
      </c>
      <c r="U18" s="120">
        <v>1589.72</v>
      </c>
    </row>
    <row r="19" spans="2:22">
      <c r="B19" s="141">
        <v>17</v>
      </c>
      <c r="C19" s="142" t="s">
        <v>63</v>
      </c>
      <c r="D19" s="142">
        <v>200</v>
      </c>
      <c r="E19" s="142">
        <v>1.5</v>
      </c>
      <c r="F19" s="143">
        <f t="shared" si="0"/>
        <v>300</v>
      </c>
      <c r="G19" s="142">
        <v>1</v>
      </c>
      <c r="H19" s="143">
        <v>9026</v>
      </c>
      <c r="I19" s="143">
        <f>T3</f>
        <v>3057.12</v>
      </c>
      <c r="J19" s="143">
        <v>65486.17</v>
      </c>
      <c r="K19" s="143">
        <f t="shared" si="1"/>
        <v>4.5811199525029487E-3</v>
      </c>
      <c r="L19" s="143">
        <f t="shared" si="2"/>
        <v>66112.080610999998</v>
      </c>
      <c r="M19" s="143">
        <f t="shared" si="3"/>
        <v>302.86737158853543</v>
      </c>
      <c r="N19" s="144">
        <f t="shared" si="4"/>
        <v>12385.987371588535</v>
      </c>
      <c r="O19" s="133" t="s">
        <v>83</v>
      </c>
      <c r="Q19" s="119">
        <v>17</v>
      </c>
      <c r="R19" s="120">
        <v>786.9</v>
      </c>
      <c r="S19" s="120">
        <v>149.88</v>
      </c>
      <c r="T19" s="120">
        <f t="shared" si="5"/>
        <v>856.60000000000014</v>
      </c>
      <c r="U19" s="120">
        <v>1793.38</v>
      </c>
    </row>
    <row r="20" spans="2:22">
      <c r="B20" s="141">
        <v>18</v>
      </c>
      <c r="C20" s="142" t="s">
        <v>64</v>
      </c>
      <c r="D20" s="142">
        <v>40</v>
      </c>
      <c r="E20" s="142">
        <v>10.3</v>
      </c>
      <c r="F20" s="143">
        <f t="shared" si="0"/>
        <v>412</v>
      </c>
      <c r="G20" s="142">
        <v>22</v>
      </c>
      <c r="H20" s="143">
        <v>12395</v>
      </c>
      <c r="I20" s="143">
        <f>T24</f>
        <v>4198.18</v>
      </c>
      <c r="J20" s="143">
        <v>65486.17</v>
      </c>
      <c r="K20" s="143">
        <f t="shared" si="1"/>
        <v>6.2914047347707161E-3</v>
      </c>
      <c r="L20" s="143">
        <f t="shared" si="2"/>
        <v>66112.080610999998</v>
      </c>
      <c r="M20" s="143">
        <f t="shared" si="3"/>
        <v>415.93785698158865</v>
      </c>
      <c r="N20" s="144">
        <f t="shared" si="4"/>
        <v>17009.117856981589</v>
      </c>
      <c r="O20" s="134" t="s">
        <v>83</v>
      </c>
      <c r="P20" s="131"/>
      <c r="Q20" s="119">
        <v>18</v>
      </c>
      <c r="R20" s="120">
        <v>13171.35</v>
      </c>
      <c r="S20" s="120">
        <v>2508.84</v>
      </c>
      <c r="T20" s="120">
        <f t="shared" si="5"/>
        <v>14338.039999999997</v>
      </c>
      <c r="U20" s="120">
        <v>30018.23</v>
      </c>
    </row>
    <row r="21" spans="2:22">
      <c r="B21" s="141">
        <v>19</v>
      </c>
      <c r="C21" s="142" t="s">
        <v>65</v>
      </c>
      <c r="D21" s="142">
        <v>40</v>
      </c>
      <c r="E21" s="142">
        <v>4.7</v>
      </c>
      <c r="F21" s="143">
        <f t="shared" si="0"/>
        <v>188</v>
      </c>
      <c r="G21" s="142">
        <v>2</v>
      </c>
      <c r="H21" s="143">
        <v>5656</v>
      </c>
      <c r="I21" s="143">
        <f>T4</f>
        <v>1915.66</v>
      </c>
      <c r="J21" s="143">
        <v>65486.17</v>
      </c>
      <c r="K21" s="143">
        <f t="shared" si="1"/>
        <v>2.870835170235181E-3</v>
      </c>
      <c r="L21" s="143">
        <f t="shared" si="2"/>
        <v>66112.080610999998</v>
      </c>
      <c r="M21" s="143">
        <f t="shared" si="3"/>
        <v>189.79688619548219</v>
      </c>
      <c r="N21" s="144">
        <f t="shared" si="4"/>
        <v>7761.4568861954822</v>
      </c>
      <c r="O21" s="133" t="s">
        <v>83</v>
      </c>
      <c r="Q21" s="119">
        <v>19</v>
      </c>
      <c r="R21" s="120">
        <v>85770.15</v>
      </c>
      <c r="S21" s="120">
        <v>16337.16</v>
      </c>
      <c r="T21" s="120">
        <f t="shared" si="5"/>
        <v>93366.9</v>
      </c>
      <c r="U21" s="120">
        <v>195474.21</v>
      </c>
    </row>
    <row r="22" spans="2:22">
      <c r="B22" s="141">
        <v>20</v>
      </c>
      <c r="C22" s="142" t="s">
        <v>66</v>
      </c>
      <c r="D22" s="142">
        <v>2160</v>
      </c>
      <c r="E22" s="142">
        <v>0.34</v>
      </c>
      <c r="F22" s="143">
        <f t="shared" si="0"/>
        <v>734.40000000000009</v>
      </c>
      <c r="G22" s="142">
        <v>3</v>
      </c>
      <c r="H22" s="143">
        <v>22096</v>
      </c>
      <c r="I22" s="143">
        <f>T5</f>
        <v>14505.570000000002</v>
      </c>
      <c r="J22" s="143">
        <v>65486.17</v>
      </c>
      <c r="K22" s="143">
        <f t="shared" si="1"/>
        <v>1.1214581643727219E-2</v>
      </c>
      <c r="L22" s="143">
        <f t="shared" si="2"/>
        <v>66112.080610999998</v>
      </c>
      <c r="M22" s="143">
        <f t="shared" si="3"/>
        <v>741.41932564873468</v>
      </c>
      <c r="N22" s="144">
        <f t="shared" si="4"/>
        <v>37342.989325648734</v>
      </c>
      <c r="O22" s="133" t="s">
        <v>83</v>
      </c>
      <c r="Q22" s="119">
        <v>20</v>
      </c>
      <c r="R22" s="120">
        <v>1169.55</v>
      </c>
      <c r="S22" s="120">
        <v>222.78</v>
      </c>
      <c r="T22" s="120">
        <f t="shared" si="5"/>
        <v>1273.2000000000003</v>
      </c>
      <c r="U22" s="120">
        <v>2665.53</v>
      </c>
    </row>
    <row r="23" spans="2:22">
      <c r="B23" s="141">
        <v>21</v>
      </c>
      <c r="C23" s="142" t="s">
        <v>67</v>
      </c>
      <c r="D23" s="142">
        <v>450</v>
      </c>
      <c r="E23" s="142">
        <v>1</v>
      </c>
      <c r="F23" s="143">
        <f t="shared" si="0"/>
        <v>450</v>
      </c>
      <c r="G23" s="142">
        <v>5</v>
      </c>
      <c r="H23" s="143">
        <v>20309</v>
      </c>
      <c r="I23" s="143">
        <f>T7</f>
        <v>14.220000000000255</v>
      </c>
      <c r="J23" s="143">
        <v>65486.17</v>
      </c>
      <c r="K23" s="143">
        <f t="shared" si="1"/>
        <v>6.8716799287544227E-3</v>
      </c>
      <c r="L23" s="143">
        <f t="shared" si="2"/>
        <v>66112.080610999998</v>
      </c>
      <c r="M23" s="143">
        <f t="shared" si="3"/>
        <v>454.30105738280309</v>
      </c>
      <c r="N23" s="144">
        <f t="shared" si="4"/>
        <v>20777.521057382804</v>
      </c>
      <c r="O23" s="133" t="s">
        <v>83</v>
      </c>
      <c r="Q23" s="119">
        <v>21</v>
      </c>
      <c r="R23" s="120">
        <v>3572.85</v>
      </c>
      <c r="S23" s="120">
        <v>549.66</v>
      </c>
      <c r="T23" s="120">
        <f t="shared" si="5"/>
        <v>8248.5300000000007</v>
      </c>
      <c r="U23" s="120">
        <v>12371.04</v>
      </c>
    </row>
    <row r="24" spans="2:22">
      <c r="B24" s="141">
        <v>22</v>
      </c>
      <c r="C24" s="142" t="s">
        <v>68</v>
      </c>
      <c r="D24" s="142">
        <v>100</v>
      </c>
      <c r="E24" s="142">
        <v>7.8</v>
      </c>
      <c r="F24" s="143">
        <f t="shared" si="0"/>
        <v>780</v>
      </c>
      <c r="G24" s="142">
        <v>4</v>
      </c>
      <c r="H24" s="143">
        <v>23467</v>
      </c>
      <c r="I24" s="143">
        <f>T6</f>
        <v>15405.479999999998</v>
      </c>
      <c r="J24" s="143">
        <v>65486.17</v>
      </c>
      <c r="K24" s="143">
        <f t="shared" si="1"/>
        <v>1.1910911876507667E-2</v>
      </c>
      <c r="L24" s="143">
        <f t="shared" si="2"/>
        <v>66112.080610999998</v>
      </c>
      <c r="M24" s="143">
        <f t="shared" si="3"/>
        <v>787.45516613019208</v>
      </c>
      <c r="N24" s="144">
        <f t="shared" si="4"/>
        <v>39659.935166130192</v>
      </c>
      <c r="O24" s="135" t="s">
        <v>84</v>
      </c>
      <c r="Q24" s="119">
        <v>22</v>
      </c>
      <c r="R24" s="120">
        <v>2231.1</v>
      </c>
      <c r="S24" s="120">
        <v>371.85</v>
      </c>
      <c r="T24" s="120">
        <f t="shared" si="5"/>
        <v>4198.18</v>
      </c>
      <c r="U24" s="120">
        <v>6801.13</v>
      </c>
    </row>
    <row r="25" spans="2:22">
      <c r="B25" s="141">
        <v>23</v>
      </c>
      <c r="C25" s="142" t="s">
        <v>69</v>
      </c>
      <c r="D25" s="142">
        <v>1</v>
      </c>
      <c r="E25" s="142">
        <v>220</v>
      </c>
      <c r="F25" s="143">
        <f t="shared" si="0"/>
        <v>220</v>
      </c>
      <c r="G25" s="142"/>
      <c r="H25" s="143">
        <v>6623</v>
      </c>
      <c r="I25" s="143">
        <f>T27</f>
        <v>2243.2400000000002</v>
      </c>
      <c r="J25" s="143">
        <v>65486.17</v>
      </c>
      <c r="K25" s="143">
        <f t="shared" si="1"/>
        <v>3.359487965168829E-3</v>
      </c>
      <c r="L25" s="143">
        <f t="shared" si="2"/>
        <v>66112.080610999998</v>
      </c>
      <c r="M25" s="143">
        <f t="shared" si="3"/>
        <v>222.10273916492596</v>
      </c>
      <c r="N25" s="144">
        <f t="shared" si="4"/>
        <v>9088.3427391649257</v>
      </c>
      <c r="O25" s="135" t="s">
        <v>84</v>
      </c>
      <c r="Q25" s="119">
        <v>23</v>
      </c>
      <c r="R25" s="120">
        <v>1624.65</v>
      </c>
      <c r="S25" s="120">
        <v>270.77999999999997</v>
      </c>
      <c r="T25" s="120">
        <f t="shared" si="5"/>
        <v>3057.12</v>
      </c>
      <c r="U25" s="120">
        <v>4952.55</v>
      </c>
    </row>
    <row r="26" spans="2:22">
      <c r="B26" s="141">
        <v>24</v>
      </c>
      <c r="C26" s="142" t="s">
        <v>70</v>
      </c>
      <c r="D26" s="142">
        <v>2</v>
      </c>
      <c r="E26" s="142">
        <v>220</v>
      </c>
      <c r="F26" s="143">
        <v>677</v>
      </c>
      <c r="G26" s="142">
        <v>10</v>
      </c>
      <c r="H26" s="143">
        <v>13239</v>
      </c>
      <c r="I26" s="143">
        <f>T12</f>
        <v>4484.07</v>
      </c>
      <c r="J26" s="143">
        <v>65486.17</v>
      </c>
      <c r="K26" s="143">
        <f t="shared" si="1"/>
        <v>1.0338060692814987E-2</v>
      </c>
      <c r="L26" s="143">
        <f t="shared" si="2"/>
        <v>66112.080610999998</v>
      </c>
      <c r="M26" s="143">
        <f t="shared" si="3"/>
        <v>683.47070188479495</v>
      </c>
      <c r="N26" s="144">
        <f t="shared" si="4"/>
        <v>18406.540701884795</v>
      </c>
      <c r="O26" s="135" t="s">
        <v>84</v>
      </c>
      <c r="Q26" s="119">
        <v>24</v>
      </c>
      <c r="R26" s="120">
        <v>402.6</v>
      </c>
      <c r="S26" s="120">
        <v>76.680000000000007</v>
      </c>
      <c r="T26" s="120">
        <f t="shared" si="5"/>
        <v>438.19</v>
      </c>
      <c r="U26" s="120">
        <v>917.47</v>
      </c>
    </row>
    <row r="27" spans="2:22">
      <c r="B27" s="141">
        <v>25</v>
      </c>
      <c r="C27" s="142" t="s">
        <v>71</v>
      </c>
      <c r="D27" s="142">
        <v>2</v>
      </c>
      <c r="E27" s="142">
        <v>186</v>
      </c>
      <c r="F27" s="143">
        <f t="shared" si="0"/>
        <v>372</v>
      </c>
      <c r="G27" s="142">
        <v>21</v>
      </c>
      <c r="H27" s="143">
        <v>18322</v>
      </c>
      <c r="I27" s="143">
        <f>T23</f>
        <v>8248.5300000000007</v>
      </c>
      <c r="J27" s="143">
        <v>65486.17</v>
      </c>
      <c r="K27" s="143">
        <f t="shared" si="1"/>
        <v>5.6805887411036562E-3</v>
      </c>
      <c r="L27" s="143">
        <f t="shared" si="2"/>
        <v>66112.080610999998</v>
      </c>
      <c r="M27" s="143">
        <f t="shared" si="3"/>
        <v>375.55554076978393</v>
      </c>
      <c r="N27" s="144">
        <f t="shared" si="4"/>
        <v>26946.085540769782</v>
      </c>
      <c r="O27" s="135" t="s">
        <v>84</v>
      </c>
      <c r="Q27" s="119">
        <v>25</v>
      </c>
      <c r="R27" s="120">
        <v>1192.2</v>
      </c>
      <c r="S27" s="120">
        <v>198.69</v>
      </c>
      <c r="T27" s="120">
        <f t="shared" si="5"/>
        <v>2243.2400000000002</v>
      </c>
      <c r="U27" s="120">
        <v>3634.13</v>
      </c>
    </row>
    <row r="28" spans="2:22">
      <c r="B28" s="141">
        <v>26</v>
      </c>
      <c r="C28" s="142" t="s">
        <v>75</v>
      </c>
      <c r="D28" s="142">
        <v>5</v>
      </c>
      <c r="E28" s="142">
        <v>10.4</v>
      </c>
      <c r="F28" s="143">
        <f t="shared" si="0"/>
        <v>52</v>
      </c>
      <c r="G28" s="142">
        <v>12</v>
      </c>
      <c r="H28" s="143">
        <v>1565</v>
      </c>
      <c r="I28" s="143">
        <f>T14</f>
        <v>355.6</v>
      </c>
      <c r="J28" s="143">
        <v>65486.17</v>
      </c>
      <c r="K28" s="143">
        <f t="shared" si="1"/>
        <v>7.9406079176717772E-4</v>
      </c>
      <c r="L28" s="143">
        <f t="shared" si="2"/>
        <v>66112.080610999998</v>
      </c>
      <c r="M28" s="143">
        <f t="shared" si="3"/>
        <v>52.497011075346137</v>
      </c>
      <c r="N28" s="144">
        <f t="shared" si="4"/>
        <v>1973.097011075346</v>
      </c>
      <c r="O28" s="135" t="s">
        <v>84</v>
      </c>
      <c r="R28" s="130">
        <f>SUM(R3:R27)</f>
        <v>609960.89999999991</v>
      </c>
      <c r="S28" s="130">
        <f t="shared" ref="S28:U28" si="6">SUM(S3:S27)</f>
        <v>109163.96999999999</v>
      </c>
      <c r="T28" s="130">
        <f t="shared" si="6"/>
        <v>895456.39999999991</v>
      </c>
      <c r="U28" s="130">
        <f t="shared" si="6"/>
        <v>1614581.2699999998</v>
      </c>
    </row>
    <row r="29" spans="2:22" ht="15.75" thickBot="1">
      <c r="B29" s="145"/>
      <c r="C29" s="146"/>
      <c r="D29" s="146"/>
      <c r="E29" s="146"/>
      <c r="F29" s="147">
        <f>SUM(F3:F28)</f>
        <v>65486.17</v>
      </c>
      <c r="G29" s="146"/>
      <c r="H29" s="147">
        <f>SUM(H3:H28)</f>
        <v>3638799</v>
      </c>
      <c r="I29" s="147">
        <f>SUM(I3:I28)</f>
        <v>895456.39999999991</v>
      </c>
      <c r="J29" s="147"/>
      <c r="K29" s="147">
        <f>SUM(K3:K28)</f>
        <v>1.0000000000000002</v>
      </c>
      <c r="L29" s="147"/>
      <c r="M29" s="147">
        <f>SUM(M3:M28)</f>
        <v>66112.080610999998</v>
      </c>
      <c r="N29" s="148">
        <f>SUM(N3:N28)</f>
        <v>4600367.4806109983</v>
      </c>
    </row>
    <row r="30" spans="2:22" ht="15.75" thickBot="1"/>
    <row r="31" spans="2:22" ht="15.75" thickBot="1">
      <c r="Q31" s="121">
        <v>19.100000000000001</v>
      </c>
      <c r="R31" s="122">
        <v>5500</v>
      </c>
      <c r="S31" s="122">
        <f>R31/R33</f>
        <v>0.32934131736526945</v>
      </c>
      <c r="T31" s="122">
        <f>S31*T33</f>
        <v>179350.05988023951</v>
      </c>
      <c r="U31" s="122">
        <f>S31*U33</f>
        <v>30749.577844311374</v>
      </c>
      <c r="V31" s="123">
        <f>T31+U31</f>
        <v>210099.63772455088</v>
      </c>
    </row>
    <row r="32" spans="2:22">
      <c r="F32" s="116" t="s">
        <v>88</v>
      </c>
      <c r="G32" s="99"/>
      <c r="H32" s="94">
        <v>120943.17</v>
      </c>
      <c r="I32" s="149">
        <v>28.6128</v>
      </c>
      <c r="J32" s="100">
        <f>H32*I32</f>
        <v>3460522.7345759999</v>
      </c>
      <c r="Q32" s="124">
        <v>19.2</v>
      </c>
      <c r="R32" s="125">
        <v>11200</v>
      </c>
      <c r="S32" s="125">
        <f>R32/R33</f>
        <v>0.6706586826347305</v>
      </c>
      <c r="T32" s="125">
        <f>S32*T33</f>
        <v>365221.94011976046</v>
      </c>
      <c r="U32" s="125">
        <f>S32*U33</f>
        <v>62617.322155688613</v>
      </c>
      <c r="V32" s="126">
        <f>T32+U32</f>
        <v>427839.26227544906</v>
      </c>
    </row>
    <row r="33" spans="6:22" ht="18" thickBot="1">
      <c r="F33" s="101" t="s">
        <v>89</v>
      </c>
      <c r="G33" s="59"/>
      <c r="H33" s="59">
        <v>65486.15</v>
      </c>
      <c r="I33" s="150">
        <v>28.712299999999999</v>
      </c>
      <c r="J33" s="108">
        <f>H33*I33</f>
        <v>1880257.984645</v>
      </c>
      <c r="Q33" s="127"/>
      <c r="R33" s="128">
        <f>SUM(R31:R32)</f>
        <v>16700</v>
      </c>
      <c r="S33" s="128">
        <f>SUM(S31:S32)</f>
        <v>1</v>
      </c>
      <c r="T33" s="128">
        <v>544572</v>
      </c>
      <c r="U33" s="128">
        <f>T21</f>
        <v>93366.9</v>
      </c>
      <c r="V33" s="129">
        <f>SUM(V31:V32)</f>
        <v>637938.89999999991</v>
      </c>
    </row>
    <row r="34" spans="6:22">
      <c r="F34" s="101"/>
      <c r="G34" s="59"/>
      <c r="H34" s="59"/>
      <c r="I34" s="57"/>
      <c r="J34" s="103"/>
    </row>
    <row r="35" spans="6:22" ht="15.75" thickBot="1">
      <c r="F35" s="117" t="s">
        <v>48</v>
      </c>
      <c r="G35" s="105"/>
      <c r="H35" s="105"/>
      <c r="I35" s="106"/>
      <c r="J35" s="107">
        <f>J32-J33</f>
        <v>1580264.7499309999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U36"/>
  <sheetViews>
    <sheetView workbookViewId="0">
      <selection sqref="A1:XFD1048576"/>
    </sheetView>
  </sheetViews>
  <sheetFormatPr defaultRowHeight="15"/>
  <cols>
    <col min="1" max="1" width="4.140625" style="6" customWidth="1"/>
    <col min="2" max="2" width="23.28515625" customWidth="1"/>
    <col min="3" max="3" width="11.5703125" style="7" bestFit="1" customWidth="1"/>
    <col min="4" max="4" width="14.42578125" style="8" bestFit="1" customWidth="1"/>
    <col min="5" max="5" width="13.85546875" style="8" customWidth="1"/>
    <col min="6" max="6" width="13.28515625" style="39" customWidth="1"/>
    <col min="7" max="7" width="14.5703125" style="6" bestFit="1" customWidth="1"/>
    <col min="8" max="8" width="9.7109375" style="6" customWidth="1"/>
    <col min="9" max="9" width="14.5703125" style="6" bestFit="1" customWidth="1"/>
    <col min="10" max="10" width="12.28515625" style="8" customWidth="1"/>
    <col min="11" max="11" width="12.28515625" style="8" bestFit="1" customWidth="1"/>
    <col min="12" max="12" width="13.28515625" bestFit="1" customWidth="1"/>
    <col min="13" max="13" width="14.5703125" style="8" customWidth="1"/>
    <col min="14" max="14" width="16.28515625" style="8" customWidth="1"/>
    <col min="15" max="15" width="11.42578125" style="8" customWidth="1"/>
    <col min="16" max="16" width="10.42578125" customWidth="1"/>
    <col min="17" max="17" width="11.5703125" style="9" bestFit="1" customWidth="1"/>
    <col min="18" max="19" width="6.140625" style="6" bestFit="1" customWidth="1"/>
    <col min="20" max="20" width="14.5703125" style="10" bestFit="1" customWidth="1"/>
    <col min="21" max="21" width="14.5703125" style="8" bestFit="1" customWidth="1"/>
  </cols>
  <sheetData>
    <row r="2" spans="1:21" s="2" customFormat="1" ht="16.5" thickBot="1">
      <c r="A2" s="1"/>
      <c r="C2" s="174" t="s">
        <v>28</v>
      </c>
      <c r="D2" s="174"/>
      <c r="E2" s="174"/>
      <c r="F2" s="61"/>
      <c r="G2" s="175"/>
      <c r="H2" s="175"/>
      <c r="I2" s="175"/>
      <c r="J2" s="175"/>
      <c r="K2" s="175"/>
      <c r="M2" s="3"/>
      <c r="N2" s="3"/>
      <c r="O2" s="3"/>
      <c r="Q2" s="4"/>
      <c r="R2" s="1"/>
      <c r="S2" s="1"/>
      <c r="T2" s="5"/>
      <c r="U2" s="3"/>
    </row>
    <row r="3" spans="1:21" ht="9" customHeight="1" thickBot="1">
      <c r="C3" s="8"/>
      <c r="E3" s="6"/>
      <c r="I3" s="8"/>
      <c r="K3"/>
      <c r="L3" s="8"/>
      <c r="O3"/>
      <c r="P3" s="9"/>
      <c r="Q3" s="6"/>
      <c r="S3" s="10"/>
      <c r="T3" s="8"/>
      <c r="U3"/>
    </row>
    <row r="4" spans="1:21" s="18" customFormat="1" ht="39" thickBot="1">
      <c r="A4" s="11" t="s">
        <v>0</v>
      </c>
      <c r="B4" s="12" t="s">
        <v>1</v>
      </c>
      <c r="C4" s="13" t="s">
        <v>2</v>
      </c>
      <c r="D4" s="12" t="s">
        <v>4</v>
      </c>
      <c r="E4" s="13" t="s">
        <v>3</v>
      </c>
      <c r="F4" s="14" t="s">
        <v>5</v>
      </c>
      <c r="G4" s="14" t="s">
        <v>6</v>
      </c>
      <c r="H4" s="15" t="s">
        <v>7</v>
      </c>
      <c r="I4" s="16"/>
      <c r="J4" s="17"/>
      <c r="M4" s="19"/>
      <c r="N4" s="20"/>
    </row>
    <row r="5" spans="1:21" ht="15.75">
      <c r="A5" s="21">
        <v>1</v>
      </c>
      <c r="B5" s="60" t="s">
        <v>26</v>
      </c>
      <c r="C5" s="23">
        <v>1.2</v>
      </c>
      <c r="D5" s="24">
        <v>35780</v>
      </c>
      <c r="E5" s="23">
        <f>C5*D5</f>
        <v>42936</v>
      </c>
      <c r="F5" s="64">
        <f>E5/E12</f>
        <v>0.77816441931274472</v>
      </c>
      <c r="G5" s="23">
        <f>F5*D30</f>
        <v>1650586.9908210526</v>
      </c>
      <c r="H5" s="25">
        <f>G5/D5</f>
        <v>46.131553684210523</v>
      </c>
      <c r="I5" s="26"/>
      <c r="J5" s="9"/>
      <c r="K5" s="6"/>
      <c r="L5" s="6"/>
      <c r="M5" s="10"/>
      <c r="O5"/>
      <c r="Q5"/>
      <c r="R5"/>
      <c r="S5"/>
      <c r="T5"/>
      <c r="U5"/>
    </row>
    <row r="6" spans="1:21" ht="15.75">
      <c r="A6" s="21">
        <v>2</v>
      </c>
      <c r="B6" s="60" t="s">
        <v>27</v>
      </c>
      <c r="C6" s="23">
        <v>1.2</v>
      </c>
      <c r="D6" s="24">
        <v>10200</v>
      </c>
      <c r="E6" s="23">
        <f>C6*D6</f>
        <v>12240</v>
      </c>
      <c r="F6" s="64">
        <f>E6/E12</f>
        <v>0.22183558068725534</v>
      </c>
      <c r="G6" s="23">
        <f>F6*D30</f>
        <v>470541.84757894732</v>
      </c>
      <c r="H6" s="25">
        <f>G6/D6</f>
        <v>46.131553684210523</v>
      </c>
      <c r="I6" s="26"/>
      <c r="J6" s="9"/>
      <c r="K6" s="6"/>
      <c r="L6" s="6"/>
      <c r="M6" s="10"/>
      <c r="O6"/>
      <c r="Q6"/>
      <c r="R6"/>
      <c r="S6"/>
      <c r="T6"/>
      <c r="U6"/>
    </row>
    <row r="7" spans="1:21">
      <c r="A7" s="21">
        <v>3</v>
      </c>
      <c r="B7" s="22"/>
      <c r="C7" s="23"/>
      <c r="D7" s="24"/>
      <c r="E7" s="23"/>
      <c r="F7" s="64"/>
      <c r="G7" s="23"/>
      <c r="H7" s="25"/>
      <c r="I7" s="26"/>
      <c r="J7" s="9"/>
      <c r="K7" s="6"/>
      <c r="L7" s="6"/>
      <c r="M7" s="10"/>
      <c r="O7"/>
      <c r="Q7"/>
      <c r="R7"/>
      <c r="S7"/>
      <c r="T7"/>
      <c r="U7"/>
    </row>
    <row r="8" spans="1:21">
      <c r="A8" s="21">
        <v>4</v>
      </c>
      <c r="B8" s="22"/>
      <c r="C8" s="23"/>
      <c r="D8" s="24"/>
      <c r="E8" s="23"/>
      <c r="F8" s="64"/>
      <c r="G8" s="23"/>
      <c r="H8" s="25"/>
      <c r="I8" s="26"/>
      <c r="J8" s="9"/>
      <c r="K8" s="6"/>
      <c r="L8" s="6"/>
      <c r="M8" s="10"/>
      <c r="O8"/>
      <c r="Q8"/>
      <c r="R8"/>
      <c r="S8"/>
      <c r="T8"/>
      <c r="U8"/>
    </row>
    <row r="9" spans="1:21">
      <c r="A9" s="21">
        <v>5</v>
      </c>
      <c r="B9" s="22"/>
      <c r="C9" s="23"/>
      <c r="D9" s="24"/>
      <c r="E9" s="23"/>
      <c r="F9" s="64"/>
      <c r="G9" s="23"/>
      <c r="H9" s="25"/>
      <c r="I9" s="26"/>
      <c r="J9" s="9"/>
      <c r="K9" s="6"/>
      <c r="L9" s="6"/>
      <c r="M9" s="10"/>
      <c r="O9"/>
      <c r="Q9"/>
      <c r="R9"/>
      <c r="S9"/>
      <c r="T9"/>
      <c r="U9"/>
    </row>
    <row r="10" spans="1:21">
      <c r="A10" s="21">
        <v>6</v>
      </c>
      <c r="B10" s="22"/>
      <c r="C10" s="23"/>
      <c r="D10" s="24"/>
      <c r="E10" s="23"/>
      <c r="F10" s="64"/>
      <c r="G10" s="23"/>
      <c r="H10" s="25"/>
      <c r="I10" s="26"/>
      <c r="J10" s="9"/>
      <c r="K10" s="6"/>
      <c r="L10" s="6"/>
      <c r="M10" s="10"/>
      <c r="O10"/>
      <c r="Q10"/>
      <c r="R10"/>
      <c r="S10"/>
      <c r="T10"/>
      <c r="U10"/>
    </row>
    <row r="11" spans="1:21">
      <c r="A11" s="21">
        <v>7</v>
      </c>
      <c r="B11" s="22"/>
      <c r="C11" s="23"/>
      <c r="D11" s="24"/>
      <c r="E11" s="23"/>
      <c r="F11" s="64"/>
      <c r="G11" s="23"/>
      <c r="H11" s="25"/>
      <c r="I11" s="26"/>
      <c r="J11" s="9"/>
      <c r="K11" s="6"/>
      <c r="L11" s="6"/>
      <c r="M11" s="10"/>
      <c r="O11"/>
      <c r="Q11"/>
      <c r="R11"/>
      <c r="S11"/>
      <c r="T11"/>
      <c r="U11"/>
    </row>
    <row r="12" spans="1:21" s="37" customFormat="1" ht="23.25" customHeight="1" thickBot="1">
      <c r="A12" s="27"/>
      <c r="B12" s="28"/>
      <c r="C12" s="29"/>
      <c r="D12" s="30">
        <f>SUM(D5:D11)</f>
        <v>45980</v>
      </c>
      <c r="E12" s="29">
        <f>SUM(E5:E11)</f>
        <v>55176</v>
      </c>
      <c r="F12" s="65">
        <f>SUM(F5:F11)</f>
        <v>1</v>
      </c>
      <c r="G12" s="29">
        <f>SUM(G5:G11)</f>
        <v>2121128.8383999998</v>
      </c>
      <c r="H12" s="31"/>
      <c r="I12" s="32"/>
      <c r="J12" s="33"/>
      <c r="K12" s="34"/>
      <c r="L12" s="34"/>
      <c r="M12" s="35"/>
      <c r="N12" s="36"/>
    </row>
    <row r="14" spans="1:21">
      <c r="M14" s="58"/>
      <c r="N14" s="59"/>
      <c r="P14" s="38"/>
    </row>
    <row r="15" spans="1:21">
      <c r="M15" s="58"/>
      <c r="N15" s="59"/>
      <c r="P15" s="38"/>
    </row>
    <row r="16" spans="1:21" s="8" customFormat="1" ht="15.75" thickBot="1">
      <c r="A16" s="6"/>
      <c r="B16"/>
      <c r="C16" s="7"/>
      <c r="F16" s="39"/>
      <c r="G16" s="6"/>
      <c r="H16" s="6"/>
      <c r="I16" s="6"/>
      <c r="L16" s="38"/>
      <c r="M16" s="59"/>
      <c r="N16" s="59"/>
      <c r="P16"/>
      <c r="Q16" s="9"/>
      <c r="R16" s="39"/>
      <c r="S16" s="39"/>
      <c r="T16" s="10"/>
    </row>
    <row r="17" spans="1:21" ht="16.5" customHeight="1" thickBot="1">
      <c r="B17" s="176" t="s">
        <v>9</v>
      </c>
      <c r="C17" s="177"/>
      <c r="D17" s="177"/>
      <c r="E17" s="178"/>
      <c r="L17" s="38"/>
    </row>
    <row r="18" spans="1:21" s="43" customFormat="1" ht="16.5" customHeight="1" thickBot="1">
      <c r="A18" s="40" t="s">
        <v>10</v>
      </c>
      <c r="B18" s="179" t="s">
        <v>11</v>
      </c>
      <c r="C18" s="180"/>
      <c r="D18" s="181" t="s">
        <v>12</v>
      </c>
      <c r="E18" s="180"/>
      <c r="F18" s="62"/>
      <c r="G18" s="98" t="s">
        <v>46</v>
      </c>
      <c r="H18" s="99"/>
      <c r="I18" s="94">
        <v>3350</v>
      </c>
      <c r="J18" s="94">
        <v>28.7559</v>
      </c>
      <c r="K18" s="100">
        <f>I18*J18</f>
        <v>96332.264999999999</v>
      </c>
      <c r="L18" s="42"/>
      <c r="M18" s="42"/>
      <c r="N18" s="42"/>
      <c r="Q18" s="44"/>
      <c r="R18" s="41"/>
      <c r="S18" s="41"/>
      <c r="T18" s="45"/>
      <c r="U18" s="46"/>
    </row>
    <row r="19" spans="1:21" s="49" customFormat="1" ht="15.75" customHeight="1">
      <c r="A19" s="47">
        <v>1</v>
      </c>
      <c r="B19" s="154" t="s">
        <v>14</v>
      </c>
      <c r="C19" s="155"/>
      <c r="D19" s="156">
        <f>55176*28.7559</f>
        <v>1586635.5384</v>
      </c>
      <c r="E19" s="157"/>
      <c r="F19" s="63"/>
      <c r="G19" s="101" t="s">
        <v>47</v>
      </c>
      <c r="H19" s="59"/>
      <c r="I19" s="59"/>
      <c r="J19" s="57"/>
      <c r="K19" s="108">
        <v>129172</v>
      </c>
      <c r="L19" s="42"/>
      <c r="M19" s="42"/>
      <c r="N19" s="42"/>
      <c r="Q19" s="50"/>
      <c r="R19" s="48"/>
      <c r="S19" s="48"/>
      <c r="T19" s="51"/>
      <c r="U19" s="52"/>
    </row>
    <row r="20" spans="1:21" s="49" customFormat="1" ht="15.75" customHeight="1">
      <c r="A20" s="53">
        <v>2</v>
      </c>
      <c r="B20" s="170" t="s">
        <v>15</v>
      </c>
      <c r="C20" s="171"/>
      <c r="D20" s="172">
        <v>129172</v>
      </c>
      <c r="E20" s="173"/>
      <c r="F20" s="63"/>
      <c r="G20" s="101"/>
      <c r="H20" s="59"/>
      <c r="I20" s="59"/>
      <c r="J20" s="57"/>
      <c r="K20" s="103"/>
      <c r="L20" s="42"/>
      <c r="M20" s="42"/>
      <c r="N20" s="42"/>
      <c r="Q20" s="50"/>
      <c r="R20" s="48"/>
      <c r="S20" s="48"/>
      <c r="T20" s="51"/>
      <c r="U20" s="52"/>
    </row>
    <row r="21" spans="1:21" s="49" customFormat="1" ht="15.75" customHeight="1" thickBot="1">
      <c r="A21" s="53">
        <v>3</v>
      </c>
      <c r="B21" s="170" t="s">
        <v>16</v>
      </c>
      <c r="C21" s="171"/>
      <c r="D21" s="172">
        <v>1481</v>
      </c>
      <c r="E21" s="173"/>
      <c r="F21" s="63"/>
      <c r="G21" s="117" t="s">
        <v>48</v>
      </c>
      <c r="H21" s="105"/>
      <c r="I21" s="105"/>
      <c r="J21" s="106"/>
      <c r="K21" s="107">
        <f>K19-K18</f>
        <v>32839.735000000001</v>
      </c>
      <c r="L21" s="42"/>
      <c r="M21" s="42"/>
      <c r="N21" s="42"/>
      <c r="Q21" s="50"/>
      <c r="R21" s="48"/>
      <c r="S21" s="48"/>
      <c r="T21" s="51"/>
      <c r="U21" s="52"/>
    </row>
    <row r="22" spans="1:21" s="49" customFormat="1" ht="16.5" customHeight="1">
      <c r="A22" s="53">
        <v>4</v>
      </c>
      <c r="B22" s="170" t="s">
        <v>13</v>
      </c>
      <c r="C22" s="171"/>
      <c r="D22" s="172">
        <f>I30</f>
        <v>0</v>
      </c>
      <c r="E22" s="173"/>
      <c r="F22" s="63"/>
      <c r="G22" s="76"/>
      <c r="H22" s="76"/>
      <c r="I22" s="76"/>
      <c r="J22" s="76"/>
      <c r="K22" s="42"/>
      <c r="L22" s="42"/>
      <c r="M22" s="42"/>
      <c r="N22" s="42"/>
      <c r="Q22" s="50"/>
      <c r="R22" s="48"/>
      <c r="S22" s="48"/>
      <c r="T22" s="51"/>
      <c r="U22" s="52"/>
    </row>
    <row r="23" spans="1:21" s="49" customFormat="1" ht="15.75" customHeight="1">
      <c r="A23" s="53">
        <v>5</v>
      </c>
      <c r="B23" s="170" t="s">
        <v>24</v>
      </c>
      <c r="C23" s="171"/>
      <c r="D23" s="172">
        <v>172843</v>
      </c>
      <c r="E23" s="173"/>
      <c r="F23" s="63"/>
      <c r="G23" s="76"/>
      <c r="H23" s="76"/>
      <c r="I23" s="76"/>
      <c r="J23" s="76"/>
      <c r="K23" s="42"/>
      <c r="L23" s="42"/>
      <c r="M23" s="42"/>
      <c r="N23" s="42"/>
      <c r="Q23" s="50"/>
      <c r="R23" s="48"/>
      <c r="S23" s="48"/>
      <c r="T23" s="51"/>
      <c r="U23" s="52"/>
    </row>
    <row r="24" spans="1:21" s="49" customFormat="1" ht="15.75" customHeight="1">
      <c r="A24" s="53">
        <v>6</v>
      </c>
      <c r="B24" s="170" t="s">
        <v>17</v>
      </c>
      <c r="C24" s="171"/>
      <c r="D24" s="172">
        <v>218646.39999999999</v>
      </c>
      <c r="E24" s="173"/>
      <c r="F24" s="63"/>
      <c r="G24" s="76"/>
      <c r="H24" s="76"/>
      <c r="I24" s="76"/>
      <c r="J24" s="76"/>
      <c r="K24" s="42"/>
      <c r="L24" s="42"/>
      <c r="M24" s="42"/>
      <c r="N24" s="42"/>
      <c r="Q24" s="50"/>
      <c r="R24" s="48"/>
      <c r="S24" s="48"/>
      <c r="T24" s="51"/>
      <c r="U24" s="52"/>
    </row>
    <row r="25" spans="1:21" s="49" customFormat="1" ht="15.75" customHeight="1">
      <c r="A25" s="53">
        <v>7</v>
      </c>
      <c r="B25" s="170" t="s">
        <v>18</v>
      </c>
      <c r="C25" s="171"/>
      <c r="D25" s="172"/>
      <c r="E25" s="173"/>
      <c r="F25" s="63"/>
      <c r="G25" s="76"/>
      <c r="H25" s="76"/>
      <c r="I25" s="76"/>
      <c r="J25" s="76"/>
      <c r="K25" s="42"/>
      <c r="L25" s="42"/>
      <c r="M25" s="42"/>
      <c r="N25" s="42"/>
      <c r="Q25" s="50"/>
      <c r="R25" s="48"/>
      <c r="S25" s="48"/>
      <c r="T25" s="51"/>
      <c r="U25" s="52"/>
    </row>
    <row r="26" spans="1:21" s="49" customFormat="1" ht="15.75" customHeight="1">
      <c r="A26" s="53">
        <v>8</v>
      </c>
      <c r="B26" s="158" t="s">
        <v>19</v>
      </c>
      <c r="C26" s="159"/>
      <c r="D26" s="168"/>
      <c r="E26" s="169"/>
      <c r="F26" s="63"/>
      <c r="G26" s="77"/>
      <c r="H26" s="77"/>
      <c r="I26" s="77"/>
      <c r="J26" s="77"/>
      <c r="K26" s="42"/>
      <c r="L26" s="42"/>
      <c r="M26" s="42"/>
      <c r="N26" s="42"/>
      <c r="Q26" s="50"/>
      <c r="R26" s="48"/>
      <c r="S26" s="48"/>
      <c r="T26" s="51"/>
      <c r="U26" s="52"/>
    </row>
    <row r="27" spans="1:21" s="49" customFormat="1" ht="15.75" customHeight="1">
      <c r="A27" s="54">
        <v>9</v>
      </c>
      <c r="B27" s="166" t="s">
        <v>20</v>
      </c>
      <c r="C27" s="167"/>
      <c r="D27" s="168">
        <v>11141</v>
      </c>
      <c r="E27" s="169"/>
      <c r="F27" s="63"/>
      <c r="G27" s="77"/>
      <c r="H27" s="77"/>
      <c r="I27" s="77"/>
      <c r="J27" s="77"/>
      <c r="K27" s="42"/>
      <c r="L27" s="42"/>
      <c r="M27" s="42"/>
      <c r="N27" s="42"/>
      <c r="Q27" s="50"/>
      <c r="R27" s="48"/>
      <c r="S27" s="48"/>
      <c r="T27" s="51"/>
      <c r="U27" s="52"/>
    </row>
    <row r="28" spans="1:21" s="49" customFormat="1" ht="15.75" customHeight="1">
      <c r="A28" s="54">
        <v>10</v>
      </c>
      <c r="B28" s="166" t="s">
        <v>25</v>
      </c>
      <c r="C28" s="167"/>
      <c r="D28" s="168">
        <v>1209.9000000000001</v>
      </c>
      <c r="E28" s="169"/>
      <c r="F28" s="63"/>
      <c r="G28" s="77"/>
      <c r="H28" s="77"/>
      <c r="I28" s="77"/>
      <c r="J28" s="77"/>
      <c r="K28" s="42"/>
      <c r="L28" s="42"/>
      <c r="M28" s="42"/>
      <c r="N28" s="42"/>
      <c r="Q28" s="50"/>
      <c r="R28" s="48"/>
      <c r="S28" s="48"/>
      <c r="T28" s="51"/>
      <c r="U28" s="52"/>
    </row>
    <row r="29" spans="1:21" s="49" customFormat="1" ht="16.5" customHeight="1" thickBot="1">
      <c r="A29" s="54">
        <v>11</v>
      </c>
      <c r="B29" s="158" t="s">
        <v>21</v>
      </c>
      <c r="C29" s="159"/>
      <c r="D29" s="160"/>
      <c r="E29" s="161"/>
      <c r="F29" s="63"/>
      <c r="G29" s="77"/>
      <c r="H29" s="77"/>
      <c r="I29" s="77"/>
      <c r="J29" s="77"/>
      <c r="K29" s="42"/>
      <c r="L29" s="42"/>
      <c r="M29" s="42"/>
      <c r="N29" s="42"/>
      <c r="Q29" s="50"/>
      <c r="R29" s="48"/>
      <c r="S29" s="48"/>
      <c r="T29" s="51"/>
      <c r="U29" s="52"/>
    </row>
    <row r="30" spans="1:21" s="49" customFormat="1" ht="17.25" thickBot="1">
      <c r="A30" s="55"/>
      <c r="B30" s="162" t="s">
        <v>22</v>
      </c>
      <c r="C30" s="163"/>
      <c r="D30" s="164">
        <f>SUM(D19:D29)</f>
        <v>2121128.8383999998</v>
      </c>
      <c r="E30" s="165"/>
      <c r="F30" s="63"/>
      <c r="G30" s="76"/>
      <c r="H30" s="76"/>
      <c r="I30" s="78"/>
      <c r="J30" s="78"/>
      <c r="K30" s="42"/>
      <c r="L30" s="42"/>
      <c r="M30" s="42"/>
      <c r="N30" s="42"/>
      <c r="O30" s="52"/>
      <c r="Q30" s="50"/>
      <c r="R30" s="48"/>
      <c r="S30" s="48"/>
      <c r="T30" s="51"/>
      <c r="U30" s="52"/>
    </row>
    <row r="31" spans="1:21" s="49" customFormat="1" ht="15.75">
      <c r="A31" s="47">
        <v>10</v>
      </c>
      <c r="B31" s="154" t="s">
        <v>8</v>
      </c>
      <c r="C31" s="155"/>
      <c r="D31" s="156">
        <v>285191</v>
      </c>
      <c r="E31" s="157"/>
      <c r="F31" s="63"/>
      <c r="G31" s="114"/>
      <c r="H31" s="114"/>
      <c r="I31" s="114"/>
      <c r="J31" s="115"/>
      <c r="K31" s="52"/>
      <c r="M31" s="52"/>
      <c r="N31" s="52"/>
      <c r="O31" s="52"/>
      <c r="Q31" s="50"/>
      <c r="R31" s="48"/>
      <c r="S31" s="48"/>
      <c r="T31" s="51"/>
      <c r="U31" s="52"/>
    </row>
    <row r="32" spans="1:21" s="49" customFormat="1" ht="16.5" thickBot="1">
      <c r="A32" s="54">
        <v>11</v>
      </c>
      <c r="B32" s="158" t="s">
        <v>23</v>
      </c>
      <c r="C32" s="159"/>
      <c r="D32" s="160">
        <v>51852.9</v>
      </c>
      <c r="E32" s="161"/>
      <c r="F32" s="63"/>
      <c r="G32" s="48"/>
      <c r="H32" s="48"/>
      <c r="I32" s="48"/>
      <c r="J32" s="52"/>
      <c r="K32" s="52"/>
      <c r="M32" s="52"/>
      <c r="N32" s="52"/>
      <c r="O32" s="52"/>
      <c r="Q32" s="50"/>
      <c r="R32" s="48"/>
      <c r="S32" s="48"/>
      <c r="T32" s="51"/>
      <c r="U32" s="52"/>
    </row>
    <row r="33" spans="1:21" s="49" customFormat="1" ht="17.25" thickBot="1">
      <c r="A33" s="55"/>
      <c r="B33" s="162" t="s">
        <v>22</v>
      </c>
      <c r="C33" s="163"/>
      <c r="D33" s="164">
        <f>SUM(D30:D32)</f>
        <v>2458172.7383999997</v>
      </c>
      <c r="E33" s="165"/>
      <c r="F33" s="63"/>
      <c r="G33" s="48"/>
      <c r="H33" s="48"/>
      <c r="I33" s="66"/>
      <c r="J33" s="52"/>
      <c r="K33" s="52"/>
      <c r="M33" s="52"/>
      <c r="N33" s="52"/>
      <c r="O33" s="52"/>
      <c r="Q33" s="50"/>
      <c r="R33" s="48"/>
      <c r="S33" s="48"/>
      <c r="T33" s="51"/>
      <c r="U33" s="52"/>
    </row>
    <row r="34" spans="1:21">
      <c r="D34" s="153"/>
      <c r="E34" s="153"/>
      <c r="M34" s="56"/>
    </row>
    <row r="35" spans="1:21">
      <c r="D35" s="57"/>
      <c r="E35" s="57"/>
      <c r="M35" s="56"/>
    </row>
    <row r="36" spans="1:21">
      <c r="D36" s="57"/>
      <c r="E36" s="57"/>
    </row>
  </sheetData>
  <mergeCells count="36">
    <mergeCell ref="C2:E2"/>
    <mergeCell ref="G2:K2"/>
    <mergeCell ref="B17:E17"/>
    <mergeCell ref="B18:C18"/>
    <mergeCell ref="D18:E18"/>
    <mergeCell ref="B21:C21"/>
    <mergeCell ref="D21:E21"/>
    <mergeCell ref="B22:C22"/>
    <mergeCell ref="D22:E22"/>
    <mergeCell ref="B19:C19"/>
    <mergeCell ref="D19:E19"/>
    <mergeCell ref="B20:C20"/>
    <mergeCell ref="D20:E20"/>
    <mergeCell ref="B25:C25"/>
    <mergeCell ref="D25:E25"/>
    <mergeCell ref="B26:C26"/>
    <mergeCell ref="D26:E26"/>
    <mergeCell ref="B23:C23"/>
    <mergeCell ref="D23:E23"/>
    <mergeCell ref="B24:C24"/>
    <mergeCell ref="D24:E24"/>
    <mergeCell ref="B27:C27"/>
    <mergeCell ref="D27:E27"/>
    <mergeCell ref="B29:C29"/>
    <mergeCell ref="D29:E29"/>
    <mergeCell ref="B28:C28"/>
    <mergeCell ref="D28:E28"/>
    <mergeCell ref="B33:C33"/>
    <mergeCell ref="D33:E33"/>
    <mergeCell ref="D34:E34"/>
    <mergeCell ref="B30:C30"/>
    <mergeCell ref="D30:E30"/>
    <mergeCell ref="B31:C31"/>
    <mergeCell ref="D31:E31"/>
    <mergeCell ref="B32:C32"/>
    <mergeCell ref="D32:E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U37"/>
  <sheetViews>
    <sheetView topLeftCell="A19" workbookViewId="0">
      <selection activeCell="G6" sqref="G6"/>
    </sheetView>
  </sheetViews>
  <sheetFormatPr defaultRowHeight="15"/>
  <cols>
    <col min="1" max="1" width="4.140625" style="6" customWidth="1"/>
    <col min="2" max="2" width="23.28515625" customWidth="1"/>
    <col min="3" max="3" width="11.5703125" style="7" bestFit="1" customWidth="1"/>
    <col min="4" max="4" width="14.42578125" style="8" bestFit="1" customWidth="1"/>
    <col min="5" max="5" width="13.85546875" style="8" customWidth="1"/>
    <col min="6" max="6" width="13.28515625" style="39" customWidth="1"/>
    <col min="7" max="7" width="14.5703125" style="6" bestFit="1" customWidth="1"/>
    <col min="8" max="8" width="9.7109375" style="6" customWidth="1"/>
    <col min="9" max="9" width="14.5703125" style="6" bestFit="1" customWidth="1"/>
    <col min="10" max="10" width="12.28515625" style="8" customWidth="1"/>
    <col min="11" max="11" width="13.28515625" style="8" bestFit="1" customWidth="1"/>
    <col min="12" max="12" width="13.28515625" bestFit="1" customWidth="1"/>
    <col min="13" max="13" width="14.5703125" style="8" customWidth="1"/>
    <col min="14" max="14" width="16.28515625" style="8" customWidth="1"/>
    <col min="15" max="15" width="11.42578125" style="8" customWidth="1"/>
    <col min="16" max="16" width="10.42578125" customWidth="1"/>
    <col min="17" max="17" width="11.5703125" style="9" bestFit="1" customWidth="1"/>
    <col min="18" max="19" width="6.140625" style="6" bestFit="1" customWidth="1"/>
    <col min="20" max="20" width="14.5703125" style="10" bestFit="1" customWidth="1"/>
    <col min="21" max="21" width="14.5703125" style="8" bestFit="1" customWidth="1"/>
  </cols>
  <sheetData>
    <row r="2" spans="1:21" s="2" customFormat="1" ht="16.5" thickBot="1">
      <c r="A2" s="1"/>
      <c r="C2" s="174" t="s">
        <v>28</v>
      </c>
      <c r="D2" s="174"/>
      <c r="E2" s="174"/>
      <c r="F2" s="61"/>
      <c r="G2" s="175"/>
      <c r="H2" s="175"/>
      <c r="I2" s="175"/>
      <c r="J2" s="175"/>
      <c r="K2" s="175"/>
      <c r="M2" s="3"/>
      <c r="N2" s="3"/>
      <c r="O2" s="3"/>
      <c r="Q2" s="4"/>
      <c r="R2" s="1"/>
      <c r="S2" s="1"/>
      <c r="T2" s="5"/>
      <c r="U2" s="3"/>
    </row>
    <row r="3" spans="1:21" ht="9" customHeight="1" thickBot="1">
      <c r="C3" s="8"/>
      <c r="E3" s="6"/>
      <c r="I3" s="8"/>
      <c r="K3"/>
      <c r="L3" s="8"/>
      <c r="O3"/>
      <c r="P3" s="9"/>
      <c r="Q3" s="6"/>
      <c r="S3" s="10"/>
      <c r="T3" s="8"/>
      <c r="U3"/>
    </row>
    <row r="4" spans="1:21" s="18" customFormat="1" ht="39" thickBot="1">
      <c r="A4" s="11" t="s">
        <v>0</v>
      </c>
      <c r="B4" s="12" t="s">
        <v>1</v>
      </c>
      <c r="C4" s="13" t="s">
        <v>2</v>
      </c>
      <c r="D4" s="12" t="s">
        <v>32</v>
      </c>
      <c r="E4" s="13" t="s">
        <v>3</v>
      </c>
      <c r="F4" s="14"/>
      <c r="G4" s="14" t="s">
        <v>6</v>
      </c>
      <c r="H4" s="16"/>
      <c r="I4" s="17"/>
      <c r="L4" s="19"/>
      <c r="M4" s="20"/>
    </row>
    <row r="5" spans="1:21" ht="15.75">
      <c r="A5" s="21">
        <v>1</v>
      </c>
      <c r="B5" s="60" t="s">
        <v>91</v>
      </c>
      <c r="C5" s="23">
        <v>60385.98</v>
      </c>
      <c r="D5" s="151">
        <v>32.058300000000003</v>
      </c>
      <c r="E5" s="23">
        <f>C5*D5</f>
        <v>1935871.8626340004</v>
      </c>
      <c r="F5" s="64"/>
      <c r="G5" s="23">
        <f>D31</f>
        <v>2754114.6259860005</v>
      </c>
      <c r="H5" s="26"/>
      <c r="I5" s="9"/>
      <c r="J5" s="6"/>
      <c r="K5" s="6"/>
      <c r="L5" s="10"/>
      <c r="N5"/>
      <c r="O5"/>
      <c r="Q5"/>
      <c r="R5"/>
      <c r="S5"/>
      <c r="T5"/>
      <c r="U5"/>
    </row>
    <row r="6" spans="1:21" ht="15.75">
      <c r="A6" s="21">
        <v>2</v>
      </c>
      <c r="B6" s="60"/>
      <c r="C6" s="23"/>
      <c r="D6" s="24"/>
      <c r="E6" s="23">
        <f>C6*D6</f>
        <v>0</v>
      </c>
      <c r="F6" s="64"/>
      <c r="G6" s="23"/>
      <c r="H6" s="26"/>
      <c r="I6" s="9"/>
      <c r="J6" s="6"/>
      <c r="K6" s="6"/>
      <c r="L6" s="10"/>
      <c r="N6"/>
      <c r="O6"/>
      <c r="Q6"/>
      <c r="R6"/>
      <c r="S6"/>
      <c r="T6"/>
      <c r="U6"/>
    </row>
    <row r="7" spans="1:21">
      <c r="A7" s="21">
        <v>3</v>
      </c>
      <c r="B7" s="22"/>
      <c r="C7" s="23"/>
      <c r="D7" s="24"/>
      <c r="E7" s="23"/>
      <c r="F7" s="64"/>
      <c r="G7" s="23"/>
      <c r="H7" s="26"/>
      <c r="I7" s="9"/>
      <c r="J7" s="6"/>
      <c r="K7" s="6"/>
      <c r="L7" s="10"/>
      <c r="N7"/>
      <c r="O7"/>
      <c r="Q7"/>
      <c r="R7"/>
      <c r="S7"/>
      <c r="T7"/>
      <c r="U7"/>
    </row>
    <row r="8" spans="1:21">
      <c r="A8" s="21">
        <v>4</v>
      </c>
      <c r="B8" s="22"/>
      <c r="C8" s="23"/>
      <c r="D8" s="24"/>
      <c r="E8" s="23"/>
      <c r="F8" s="64"/>
      <c r="G8" s="23"/>
      <c r="H8" s="26"/>
      <c r="I8" s="9"/>
      <c r="J8" s="6"/>
      <c r="K8" s="6"/>
      <c r="L8" s="10"/>
      <c r="N8"/>
      <c r="O8"/>
      <c r="Q8"/>
      <c r="R8"/>
      <c r="S8"/>
      <c r="T8"/>
      <c r="U8"/>
    </row>
    <row r="9" spans="1:21">
      <c r="A9" s="21">
        <v>5</v>
      </c>
      <c r="B9" s="22"/>
      <c r="C9" s="23"/>
      <c r="D9" s="24"/>
      <c r="E9" s="23"/>
      <c r="F9" s="64"/>
      <c r="G9" s="23"/>
      <c r="H9" s="26"/>
      <c r="I9" s="9"/>
      <c r="J9" s="6"/>
      <c r="K9" s="6"/>
      <c r="L9" s="10"/>
      <c r="N9"/>
      <c r="O9"/>
      <c r="Q9"/>
      <c r="R9"/>
      <c r="S9"/>
      <c r="T9"/>
      <c r="U9"/>
    </row>
    <row r="10" spans="1:21">
      <c r="A10" s="21">
        <v>6</v>
      </c>
      <c r="B10" s="22"/>
      <c r="C10" s="23"/>
      <c r="D10" s="24"/>
      <c r="E10" s="23"/>
      <c r="F10" s="64"/>
      <c r="G10" s="23"/>
      <c r="H10" s="26"/>
      <c r="I10" s="9"/>
      <c r="J10" s="6"/>
      <c r="K10" s="6"/>
      <c r="L10" s="10"/>
      <c r="N10"/>
      <c r="O10"/>
      <c r="Q10"/>
      <c r="R10"/>
      <c r="S10"/>
      <c r="T10"/>
      <c r="U10"/>
    </row>
    <row r="11" spans="1:21">
      <c r="A11" s="21">
        <v>7</v>
      </c>
      <c r="B11" s="22"/>
      <c r="C11" s="23"/>
      <c r="D11" s="24"/>
      <c r="E11" s="23"/>
      <c r="F11" s="64"/>
      <c r="G11" s="23"/>
      <c r="H11" s="26"/>
      <c r="I11" s="9"/>
      <c r="J11" s="6"/>
      <c r="K11" s="6"/>
      <c r="L11" s="10"/>
      <c r="N11"/>
      <c r="O11"/>
      <c r="Q11"/>
      <c r="R11"/>
      <c r="S11"/>
      <c r="T11"/>
      <c r="U11"/>
    </row>
    <row r="12" spans="1:21" s="37" customFormat="1" ht="23.25" customHeight="1" thickBot="1">
      <c r="A12" s="27"/>
      <c r="B12" s="28"/>
      <c r="C12" s="29"/>
      <c r="D12" s="152">
        <f>SUM(D5:D11)</f>
        <v>32.058300000000003</v>
      </c>
      <c r="E12" s="29">
        <f>SUM(E5:E11)</f>
        <v>1935871.8626340004</v>
      </c>
      <c r="F12" s="65">
        <f>SUM(F5:F11)</f>
        <v>0</v>
      </c>
      <c r="G12" s="29">
        <f>SUM(G5:G11)</f>
        <v>2754114.6259860005</v>
      </c>
      <c r="H12" s="32"/>
      <c r="I12" s="33"/>
      <c r="J12" s="34"/>
      <c r="K12" s="34"/>
      <c r="L12" s="35"/>
      <c r="M12" s="36"/>
    </row>
    <row r="14" spans="1:21">
      <c r="M14" s="58"/>
      <c r="N14" s="59"/>
      <c r="P14" s="38"/>
    </row>
    <row r="15" spans="1:21">
      <c r="M15" s="58"/>
      <c r="N15" s="59"/>
      <c r="P15" s="38"/>
    </row>
    <row r="16" spans="1:21" s="8" customFormat="1" ht="15.75" thickBot="1">
      <c r="A16" s="6"/>
      <c r="B16"/>
      <c r="C16" s="7"/>
      <c r="F16" s="39"/>
      <c r="G16" s="6"/>
      <c r="H16" s="6"/>
      <c r="I16" s="6"/>
      <c r="L16" s="38"/>
      <c r="M16" s="59"/>
      <c r="N16" s="59"/>
      <c r="P16"/>
      <c r="Q16" s="9"/>
      <c r="R16" s="39"/>
      <c r="S16" s="39"/>
      <c r="T16" s="10"/>
    </row>
    <row r="17" spans="1:21" ht="16.5" customHeight="1" thickBot="1">
      <c r="B17" s="176" t="s">
        <v>9</v>
      </c>
      <c r="C17" s="177"/>
      <c r="D17" s="177"/>
      <c r="E17" s="178"/>
      <c r="L17" s="38"/>
    </row>
    <row r="18" spans="1:21" s="43" customFormat="1" ht="16.5" customHeight="1" thickBot="1">
      <c r="A18" s="40" t="s">
        <v>10</v>
      </c>
      <c r="B18" s="179" t="s">
        <v>11</v>
      </c>
      <c r="C18" s="180"/>
      <c r="D18" s="181" t="s">
        <v>12</v>
      </c>
      <c r="E18" s="180"/>
      <c r="F18" s="62"/>
      <c r="G18" s="116" t="s">
        <v>88</v>
      </c>
      <c r="H18" s="99"/>
      <c r="I18" s="94">
        <v>60385.98</v>
      </c>
      <c r="J18" s="149">
        <v>32.058300000000003</v>
      </c>
      <c r="K18" s="100">
        <f>I18*J18</f>
        <v>1935871.8626340004</v>
      </c>
      <c r="L18" s="42"/>
      <c r="M18" s="42"/>
      <c r="N18" s="42"/>
      <c r="Q18" s="44"/>
      <c r="R18" s="41"/>
      <c r="S18" s="41"/>
      <c r="T18" s="45"/>
      <c r="U18" s="46"/>
    </row>
    <row r="19" spans="1:21" s="49" customFormat="1" ht="15.75" customHeight="1">
      <c r="A19" s="47">
        <v>1</v>
      </c>
      <c r="B19" s="154" t="s">
        <v>14</v>
      </c>
      <c r="C19" s="155"/>
      <c r="D19" s="156">
        <f>60385.98*32.0583</f>
        <v>1935871.8626340004</v>
      </c>
      <c r="E19" s="157"/>
      <c r="F19" s="63"/>
      <c r="G19" s="101" t="s">
        <v>89</v>
      </c>
      <c r="H19" s="59"/>
      <c r="I19" s="59">
        <v>59384.639999999999</v>
      </c>
      <c r="J19" s="150">
        <v>30.1557</v>
      </c>
      <c r="K19" s="108">
        <f>I19*J19</f>
        <v>1790785.388448</v>
      </c>
      <c r="L19" s="42"/>
      <c r="M19" s="42"/>
      <c r="N19" s="42"/>
      <c r="Q19" s="50"/>
      <c r="R19" s="48"/>
      <c r="S19" s="48"/>
      <c r="T19" s="51"/>
      <c r="U19" s="52"/>
    </row>
    <row r="20" spans="1:21" s="49" customFormat="1" ht="15.75" customHeight="1">
      <c r="A20" s="53">
        <v>2</v>
      </c>
      <c r="B20" s="170" t="s">
        <v>15</v>
      </c>
      <c r="C20" s="171"/>
      <c r="D20" s="172">
        <v>118039</v>
      </c>
      <c r="E20" s="173"/>
      <c r="F20" s="63"/>
      <c r="G20" s="101"/>
      <c r="H20" s="59"/>
      <c r="I20" s="59"/>
      <c r="J20" s="57"/>
      <c r="K20" s="103"/>
      <c r="L20" s="42"/>
      <c r="M20" s="42"/>
      <c r="N20" s="42"/>
      <c r="Q20" s="50"/>
      <c r="R20" s="48"/>
      <c r="S20" s="48"/>
      <c r="T20" s="51"/>
      <c r="U20" s="52"/>
    </row>
    <row r="21" spans="1:21" s="49" customFormat="1" ht="15.75" customHeight="1" thickBot="1">
      <c r="A21" s="53">
        <v>3</v>
      </c>
      <c r="B21" s="170" t="s">
        <v>16</v>
      </c>
      <c r="C21" s="171"/>
      <c r="D21" s="172">
        <v>1500</v>
      </c>
      <c r="E21" s="173"/>
      <c r="F21" s="63"/>
      <c r="G21" s="117" t="s">
        <v>48</v>
      </c>
      <c r="H21" s="105"/>
      <c r="I21" s="105"/>
      <c r="J21" s="106"/>
      <c r="K21" s="107">
        <f>K18-K19</f>
        <v>145086.47418600041</v>
      </c>
      <c r="L21" s="42"/>
      <c r="M21" s="42"/>
      <c r="N21" s="42"/>
      <c r="Q21" s="50"/>
      <c r="R21" s="48"/>
      <c r="S21" s="48"/>
      <c r="T21" s="51"/>
      <c r="U21" s="52"/>
    </row>
    <row r="22" spans="1:21" s="49" customFormat="1" ht="16.5" customHeight="1">
      <c r="A22" s="53">
        <v>4</v>
      </c>
      <c r="B22" s="170" t="s">
        <v>13</v>
      </c>
      <c r="C22" s="171"/>
      <c r="D22" s="172">
        <f>2089.36*30.1557</f>
        <v>63006.113352</v>
      </c>
      <c r="E22" s="173"/>
      <c r="F22" s="63"/>
      <c r="G22" s="76"/>
      <c r="H22" s="76"/>
      <c r="I22" s="76"/>
      <c r="J22" s="76"/>
      <c r="K22" s="42"/>
      <c r="L22" s="42"/>
      <c r="M22" s="42"/>
      <c r="N22" s="42"/>
      <c r="Q22" s="50"/>
      <c r="R22" s="48"/>
      <c r="S22" s="48"/>
      <c r="T22" s="51"/>
      <c r="U22" s="52"/>
    </row>
    <row r="23" spans="1:21" s="49" customFormat="1" ht="15.75" customHeight="1">
      <c r="A23" s="53">
        <v>5</v>
      </c>
      <c r="B23" s="170" t="s">
        <v>24</v>
      </c>
      <c r="C23" s="171"/>
      <c r="D23" s="172">
        <v>336921.95</v>
      </c>
      <c r="E23" s="173"/>
      <c r="F23" s="63"/>
      <c r="G23" s="76"/>
      <c r="H23" s="76"/>
      <c r="I23" s="76"/>
      <c r="J23" s="76"/>
      <c r="K23" s="42"/>
      <c r="L23" s="42"/>
      <c r="M23" s="42"/>
      <c r="N23" s="42"/>
      <c r="Q23" s="50"/>
      <c r="R23" s="48"/>
      <c r="S23" s="48"/>
      <c r="T23" s="51"/>
      <c r="U23" s="52"/>
    </row>
    <row r="24" spans="1:21" s="49" customFormat="1" ht="15.75" customHeight="1">
      <c r="A24" s="47">
        <v>6</v>
      </c>
      <c r="B24" s="166" t="s">
        <v>85</v>
      </c>
      <c r="C24" s="167"/>
      <c r="D24" s="168">
        <v>7873.2</v>
      </c>
      <c r="E24" s="169"/>
      <c r="F24" s="63"/>
      <c r="G24" s="76"/>
      <c r="H24" s="76"/>
      <c r="I24" s="76"/>
      <c r="J24" s="76"/>
      <c r="K24" s="42"/>
      <c r="L24" s="42"/>
      <c r="M24" s="42"/>
      <c r="N24" s="42"/>
      <c r="Q24" s="50"/>
      <c r="R24" s="48"/>
      <c r="S24" s="48"/>
      <c r="T24" s="51"/>
      <c r="U24" s="52"/>
    </row>
    <row r="25" spans="1:21" s="49" customFormat="1" ht="15.75" customHeight="1">
      <c r="A25" s="53">
        <v>7</v>
      </c>
      <c r="B25" s="170" t="s">
        <v>17</v>
      </c>
      <c r="C25" s="171"/>
      <c r="D25" s="172">
        <v>277409.3</v>
      </c>
      <c r="E25" s="173"/>
      <c r="F25" s="63"/>
      <c r="G25" s="76"/>
      <c r="H25" s="76"/>
      <c r="I25" s="76"/>
      <c r="J25" s="76"/>
      <c r="K25" s="42"/>
      <c r="L25" s="42"/>
      <c r="M25" s="42"/>
      <c r="N25" s="42"/>
      <c r="Q25" s="50"/>
      <c r="R25" s="48"/>
      <c r="S25" s="48"/>
      <c r="T25" s="51"/>
      <c r="U25" s="52"/>
    </row>
    <row r="26" spans="1:21" s="49" customFormat="1" ht="15.75" customHeight="1">
      <c r="A26" s="53">
        <v>8</v>
      </c>
      <c r="B26" s="170" t="s">
        <v>18</v>
      </c>
      <c r="C26" s="171"/>
      <c r="D26" s="172"/>
      <c r="E26" s="173"/>
      <c r="F26" s="63"/>
      <c r="G26" s="76"/>
      <c r="H26" s="76"/>
      <c r="I26" s="76"/>
      <c r="J26" s="76"/>
      <c r="K26" s="42"/>
      <c r="L26" s="42"/>
      <c r="M26" s="42"/>
      <c r="N26" s="42"/>
      <c r="Q26" s="50"/>
      <c r="R26" s="48"/>
      <c r="S26" s="48"/>
      <c r="T26" s="51"/>
      <c r="U26" s="52"/>
    </row>
    <row r="27" spans="1:21" s="49" customFormat="1" ht="15.75" customHeight="1">
      <c r="A27" s="53">
        <v>9</v>
      </c>
      <c r="B27" s="158" t="s">
        <v>19</v>
      </c>
      <c r="C27" s="159"/>
      <c r="D27" s="168"/>
      <c r="E27" s="169"/>
      <c r="F27" s="63"/>
      <c r="G27" s="77"/>
      <c r="H27" s="77"/>
      <c r="I27" s="77"/>
      <c r="J27" s="77"/>
      <c r="K27" s="42"/>
      <c r="L27" s="42"/>
      <c r="M27" s="42"/>
      <c r="N27" s="42"/>
      <c r="Q27" s="50"/>
      <c r="R27" s="48"/>
      <c r="S27" s="48"/>
      <c r="T27" s="51"/>
      <c r="U27" s="52"/>
    </row>
    <row r="28" spans="1:21" s="49" customFormat="1" ht="15.75" customHeight="1">
      <c r="A28" s="53">
        <v>10</v>
      </c>
      <c r="B28" s="166" t="s">
        <v>20</v>
      </c>
      <c r="C28" s="167"/>
      <c r="D28" s="168">
        <v>12046</v>
      </c>
      <c r="E28" s="169"/>
      <c r="F28" s="63"/>
      <c r="G28" s="77"/>
      <c r="H28" s="77"/>
      <c r="I28" s="77"/>
      <c r="J28" s="77"/>
      <c r="K28" s="42"/>
      <c r="L28" s="42"/>
      <c r="M28" s="42"/>
      <c r="N28" s="42"/>
      <c r="Q28" s="50"/>
      <c r="R28" s="48"/>
      <c r="S28" s="48"/>
      <c r="T28" s="51"/>
      <c r="U28" s="52"/>
    </row>
    <row r="29" spans="1:21" s="49" customFormat="1" ht="15.75" customHeight="1">
      <c r="A29" s="47">
        <v>11</v>
      </c>
      <c r="B29" s="166" t="s">
        <v>25</v>
      </c>
      <c r="C29" s="167"/>
      <c r="D29" s="168">
        <v>1447.2</v>
      </c>
      <c r="E29" s="169"/>
      <c r="F29" s="63"/>
      <c r="G29" s="77"/>
      <c r="H29" s="77"/>
      <c r="I29" s="77"/>
      <c r="J29" s="77"/>
      <c r="K29" s="42"/>
      <c r="L29" s="42"/>
      <c r="M29" s="42"/>
      <c r="N29" s="42"/>
      <c r="Q29" s="50"/>
      <c r="R29" s="48"/>
      <c r="S29" s="48"/>
      <c r="T29" s="51"/>
      <c r="U29" s="52"/>
    </row>
    <row r="30" spans="1:21" s="49" customFormat="1" ht="16.5" customHeight="1" thickBot="1">
      <c r="A30" s="53">
        <v>12</v>
      </c>
      <c r="B30" s="158" t="s">
        <v>21</v>
      </c>
      <c r="C30" s="159"/>
      <c r="D30" s="160"/>
      <c r="E30" s="161"/>
      <c r="F30" s="63"/>
      <c r="G30" s="77"/>
      <c r="H30" s="77"/>
      <c r="I30" s="77"/>
      <c r="J30" s="77"/>
      <c r="K30" s="42"/>
      <c r="L30" s="42"/>
      <c r="M30" s="42"/>
      <c r="N30" s="42"/>
      <c r="Q30" s="50"/>
      <c r="R30" s="48"/>
      <c r="S30" s="48"/>
      <c r="T30" s="51"/>
      <c r="U30" s="52"/>
    </row>
    <row r="31" spans="1:21" s="49" customFormat="1" ht="17.25" thickBot="1">
      <c r="A31" s="55"/>
      <c r="B31" s="162" t="s">
        <v>22</v>
      </c>
      <c r="C31" s="163"/>
      <c r="D31" s="164">
        <f>SUM(D19:D30)</f>
        <v>2754114.6259860005</v>
      </c>
      <c r="E31" s="165"/>
      <c r="F31" s="63"/>
      <c r="G31" s="76"/>
      <c r="H31" s="76"/>
      <c r="I31" s="78"/>
      <c r="J31" s="78"/>
      <c r="K31" s="42"/>
      <c r="L31" s="42"/>
      <c r="M31" s="42"/>
      <c r="N31" s="42"/>
      <c r="O31" s="52"/>
      <c r="Q31" s="50"/>
      <c r="R31" s="48"/>
      <c r="S31" s="48"/>
      <c r="T31" s="51"/>
      <c r="U31" s="52"/>
    </row>
    <row r="32" spans="1:21" s="49" customFormat="1" ht="15.75">
      <c r="A32" s="47">
        <v>13</v>
      </c>
      <c r="B32" s="154" t="s">
        <v>8</v>
      </c>
      <c r="C32" s="155"/>
      <c r="D32" s="156">
        <v>361838</v>
      </c>
      <c r="E32" s="157"/>
      <c r="F32" s="63"/>
      <c r="G32" s="114"/>
      <c r="H32" s="114"/>
      <c r="I32" s="114"/>
      <c r="J32" s="115"/>
      <c r="K32" s="52"/>
      <c r="M32" s="52"/>
      <c r="N32" s="52"/>
      <c r="O32" s="52"/>
      <c r="Q32" s="50"/>
      <c r="R32" s="48"/>
      <c r="S32" s="48"/>
      <c r="T32" s="51"/>
      <c r="U32" s="52"/>
    </row>
    <row r="33" spans="1:21" s="49" customFormat="1" ht="16.5" thickBot="1">
      <c r="A33" s="54">
        <v>14</v>
      </c>
      <c r="B33" s="158" t="s">
        <v>23</v>
      </c>
      <c r="C33" s="159"/>
      <c r="D33" s="160">
        <v>62023.71</v>
      </c>
      <c r="E33" s="161"/>
      <c r="F33" s="63"/>
      <c r="G33" s="48"/>
      <c r="H33" s="48"/>
      <c r="I33" s="48"/>
      <c r="J33" s="52"/>
      <c r="K33" s="52"/>
      <c r="M33" s="52"/>
      <c r="N33" s="52"/>
      <c r="O33" s="52"/>
      <c r="Q33" s="50"/>
      <c r="R33" s="48"/>
      <c r="S33" s="48"/>
      <c r="T33" s="51"/>
      <c r="U33" s="52"/>
    </row>
    <row r="34" spans="1:21" s="49" customFormat="1" ht="17.25" thickBot="1">
      <c r="A34" s="55"/>
      <c r="B34" s="162" t="s">
        <v>22</v>
      </c>
      <c r="C34" s="163"/>
      <c r="D34" s="164">
        <f>SUM(D31:D33)</f>
        <v>3177976.3359860005</v>
      </c>
      <c r="E34" s="165"/>
      <c r="F34" s="63"/>
      <c r="G34" s="48"/>
      <c r="H34" s="48"/>
      <c r="I34" s="66"/>
      <c r="J34" s="52"/>
      <c r="K34" s="52"/>
      <c r="M34" s="52"/>
      <c r="N34" s="52"/>
      <c r="O34" s="52"/>
      <c r="Q34" s="50"/>
      <c r="R34" s="48"/>
      <c r="S34" s="48"/>
      <c r="T34" s="51"/>
      <c r="U34" s="52"/>
    </row>
    <row r="35" spans="1:21">
      <c r="D35" s="153"/>
      <c r="E35" s="153"/>
      <c r="M35" s="56"/>
    </row>
    <row r="36" spans="1:21">
      <c r="D36" s="57"/>
      <c r="E36" s="57"/>
      <c r="M36" s="56"/>
    </row>
    <row r="37" spans="1:21">
      <c r="D37" s="57"/>
      <c r="E37" s="57"/>
    </row>
  </sheetData>
  <mergeCells count="38">
    <mergeCell ref="B19:C19"/>
    <mergeCell ref="D19:E19"/>
    <mergeCell ref="C2:E2"/>
    <mergeCell ref="G2:K2"/>
    <mergeCell ref="B17:E17"/>
    <mergeCell ref="B18:C18"/>
    <mergeCell ref="D18:E18"/>
    <mergeCell ref="B20:C20"/>
    <mergeCell ref="D20:E20"/>
    <mergeCell ref="B21:C21"/>
    <mergeCell ref="D21:E21"/>
    <mergeCell ref="B22:C22"/>
    <mergeCell ref="D22:E22"/>
    <mergeCell ref="B23:C23"/>
    <mergeCell ref="D23:E23"/>
    <mergeCell ref="B25:C25"/>
    <mergeCell ref="D25:E25"/>
    <mergeCell ref="B26:C26"/>
    <mergeCell ref="D26:E26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30:C30"/>
    <mergeCell ref="D30:E30"/>
    <mergeCell ref="B31:C31"/>
    <mergeCell ref="D31:E31"/>
    <mergeCell ref="B33:C33"/>
    <mergeCell ref="D33:E33"/>
    <mergeCell ref="B34:C34"/>
    <mergeCell ref="D34:E34"/>
    <mergeCell ref="D35:E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L93"/>
  <sheetViews>
    <sheetView tabSelected="1" workbookViewId="0">
      <selection activeCell="P17" sqref="P17"/>
    </sheetView>
  </sheetViews>
  <sheetFormatPr defaultRowHeight="15"/>
  <cols>
    <col min="1" max="1" width="2.7109375" style="119" customWidth="1"/>
    <col min="2" max="2" width="5.7109375" style="119" customWidth="1"/>
    <col min="3" max="3" width="12.7109375" style="119" bestFit="1" customWidth="1"/>
    <col min="4" max="4" width="11.28515625" style="119" bestFit="1" customWidth="1"/>
    <col min="5" max="5" width="12.7109375" style="119" bestFit="1" customWidth="1"/>
    <col min="6" max="6" width="11.5703125" style="119" bestFit="1" customWidth="1"/>
    <col min="7" max="7" width="14.5703125" style="119" bestFit="1" customWidth="1"/>
    <col min="8" max="8" width="11.5703125" style="120" bestFit="1" customWidth="1"/>
    <col min="9" max="9" width="25.140625" style="119" bestFit="1" customWidth="1"/>
    <col min="10" max="10" width="14.28515625" style="119" bestFit="1" customWidth="1"/>
    <col min="11" max="11" width="11.5703125" style="120" bestFit="1" customWidth="1"/>
    <col min="12" max="12" width="12.85546875" style="119" customWidth="1"/>
    <col min="13" max="16384" width="9.140625" style="119"/>
  </cols>
  <sheetData>
    <row r="1" spans="2:12" ht="15.75" thickBot="1"/>
    <row r="2" spans="2:12" s="194" customFormat="1" ht="19.5" customHeight="1">
      <c r="B2" s="196"/>
      <c r="C2" s="197" t="s">
        <v>14</v>
      </c>
      <c r="D2" s="197" t="s">
        <v>102</v>
      </c>
      <c r="E2" s="197" t="s">
        <v>94</v>
      </c>
      <c r="F2" s="197" t="s">
        <v>93</v>
      </c>
      <c r="G2" s="198" t="s">
        <v>22</v>
      </c>
      <c r="H2" s="199" t="s">
        <v>95</v>
      </c>
      <c r="I2" s="200"/>
      <c r="J2" s="205"/>
      <c r="K2" s="195"/>
    </row>
    <row r="3" spans="2:12">
      <c r="B3" s="141">
        <v>19</v>
      </c>
      <c r="C3" s="143">
        <v>14491.31</v>
      </c>
      <c r="D3" s="143">
        <v>0</v>
      </c>
      <c r="E3" s="143">
        <v>4347.3900000000003</v>
      </c>
      <c r="F3" s="143">
        <v>2166.4499999999998</v>
      </c>
      <c r="G3" s="143">
        <f>C3+D3+E3+F3</f>
        <v>21005.15</v>
      </c>
      <c r="H3" s="143" t="s">
        <v>84</v>
      </c>
      <c r="I3" s="201"/>
      <c r="J3" s="206"/>
    </row>
    <row r="4" spans="2:12">
      <c r="B4" s="141">
        <v>30</v>
      </c>
      <c r="C4" s="143">
        <v>15786.73</v>
      </c>
      <c r="D4" s="143">
        <v>2052.27</v>
      </c>
      <c r="E4" s="143">
        <v>4736.01</v>
      </c>
      <c r="F4" s="143">
        <v>3386.25</v>
      </c>
      <c r="G4" s="143">
        <f>C4+D4+E4+F4</f>
        <v>25961.260000000002</v>
      </c>
      <c r="H4" s="143" t="s">
        <v>84</v>
      </c>
      <c r="I4" s="201"/>
      <c r="J4" s="206"/>
    </row>
    <row r="5" spans="2:12">
      <c r="B5" s="141">
        <v>31</v>
      </c>
      <c r="C5" s="143">
        <v>8278.2800000000007</v>
      </c>
      <c r="D5" s="143">
        <v>0</v>
      </c>
      <c r="E5" s="143">
        <v>2483.48</v>
      </c>
      <c r="F5" s="143">
        <v>1237.5999999999999</v>
      </c>
      <c r="G5" s="143">
        <f>C5+D5+E5+F5</f>
        <v>11999.36</v>
      </c>
      <c r="H5" s="143" t="s">
        <v>84</v>
      </c>
      <c r="I5" s="201"/>
      <c r="J5" s="206"/>
    </row>
    <row r="6" spans="2:12">
      <c r="B6" s="141">
        <v>32</v>
      </c>
      <c r="C6" s="143">
        <v>6907.1</v>
      </c>
      <c r="D6" s="143">
        <v>0</v>
      </c>
      <c r="E6" s="143">
        <v>2072.13</v>
      </c>
      <c r="F6" s="143">
        <v>1032.6099999999999</v>
      </c>
      <c r="G6" s="143">
        <f>C6+D6+E6+F6</f>
        <v>10011.84</v>
      </c>
      <c r="H6" s="143" t="s">
        <v>84</v>
      </c>
      <c r="I6" s="201"/>
      <c r="J6" s="206"/>
    </row>
    <row r="7" spans="2:12">
      <c r="B7" s="141">
        <v>44</v>
      </c>
      <c r="C7" s="143">
        <v>4853.1099999999997</v>
      </c>
      <c r="D7" s="143">
        <v>1747.11</v>
      </c>
      <c r="E7" s="143">
        <v>970.62</v>
      </c>
      <c r="F7" s="143">
        <v>870.64</v>
      </c>
      <c r="G7" s="143">
        <f>C7+D7+E7+F7</f>
        <v>8441.48</v>
      </c>
      <c r="H7" s="143" t="s">
        <v>84</v>
      </c>
      <c r="I7" s="201"/>
      <c r="J7" s="207"/>
    </row>
    <row r="8" spans="2:12">
      <c r="B8" s="141">
        <v>69</v>
      </c>
      <c r="C8" s="143">
        <v>3031.58</v>
      </c>
      <c r="D8" s="143">
        <v>0</v>
      </c>
      <c r="E8" s="143">
        <v>606.30999999999995</v>
      </c>
      <c r="F8" s="143">
        <v>418.35</v>
      </c>
      <c r="G8" s="143">
        <f>C8+D8+E8+F8</f>
        <v>4056.24</v>
      </c>
      <c r="H8" s="143" t="s">
        <v>84</v>
      </c>
      <c r="I8" s="201"/>
      <c r="J8" s="206"/>
    </row>
    <row r="9" spans="2:12" ht="15.75" thickBot="1">
      <c r="B9" s="141">
        <v>78</v>
      </c>
      <c r="C9" s="143">
        <v>1122.21</v>
      </c>
      <c r="D9" s="143">
        <v>0</v>
      </c>
      <c r="E9" s="143">
        <v>0</v>
      </c>
      <c r="F9" s="143">
        <v>0</v>
      </c>
      <c r="G9" s="143">
        <f>C9+D9+E9+F9</f>
        <v>1122.21</v>
      </c>
      <c r="H9" s="143" t="s">
        <v>84</v>
      </c>
      <c r="I9" s="201"/>
      <c r="J9" s="210">
        <f>G3+G4+G5+G6+G7+G8+G9</f>
        <v>82597.540000000008</v>
      </c>
    </row>
    <row r="10" spans="2:12">
      <c r="B10" s="141">
        <v>1</v>
      </c>
      <c r="C10" s="143">
        <v>11297.25</v>
      </c>
      <c r="D10" s="143">
        <v>0</v>
      </c>
      <c r="E10" s="143">
        <v>0</v>
      </c>
      <c r="F10" s="143">
        <v>0</v>
      </c>
      <c r="G10" s="143">
        <f>C10+D10+E10+F10</f>
        <v>11297.25</v>
      </c>
      <c r="H10" s="143" t="s">
        <v>83</v>
      </c>
      <c r="I10" s="201"/>
      <c r="J10" s="207"/>
    </row>
    <row r="11" spans="2:12">
      <c r="B11" s="141">
        <v>2</v>
      </c>
      <c r="C11" s="143">
        <v>3453.14</v>
      </c>
      <c r="D11" s="143">
        <v>0</v>
      </c>
      <c r="E11" s="143">
        <v>0</v>
      </c>
      <c r="F11" s="143">
        <v>0</v>
      </c>
      <c r="G11" s="143">
        <f>C11+D11+E11+F11</f>
        <v>3453.14</v>
      </c>
      <c r="H11" s="143" t="s">
        <v>83</v>
      </c>
      <c r="I11" s="201"/>
      <c r="J11" s="208"/>
      <c r="L11" s="193"/>
    </row>
    <row r="12" spans="2:12">
      <c r="B12" s="141">
        <v>4</v>
      </c>
      <c r="C12" s="143">
        <v>16734.13</v>
      </c>
      <c r="D12" s="143">
        <v>0</v>
      </c>
      <c r="E12" s="143">
        <v>0</v>
      </c>
      <c r="F12" s="143">
        <v>0</v>
      </c>
      <c r="G12" s="143">
        <f>C12+D12+E12+F12</f>
        <v>16734.13</v>
      </c>
      <c r="H12" s="143" t="s">
        <v>83</v>
      </c>
      <c r="I12" s="201"/>
      <c r="J12" s="208"/>
      <c r="L12" s="193"/>
    </row>
    <row r="13" spans="2:12">
      <c r="B13" s="141">
        <v>5</v>
      </c>
      <c r="C13" s="143">
        <v>37688.26</v>
      </c>
      <c r="D13" s="143">
        <v>0</v>
      </c>
      <c r="E13" s="143">
        <v>0</v>
      </c>
      <c r="F13" s="143">
        <v>0</v>
      </c>
      <c r="G13" s="143">
        <f>C13+D13+E13+F13</f>
        <v>37688.26</v>
      </c>
      <c r="H13" s="143" t="s">
        <v>83</v>
      </c>
      <c r="I13" s="201"/>
      <c r="J13" s="208"/>
      <c r="L13" s="193"/>
    </row>
    <row r="14" spans="2:12">
      <c r="B14" s="141">
        <v>6</v>
      </c>
      <c r="C14" s="143">
        <v>23028.97</v>
      </c>
      <c r="D14" s="143">
        <v>0</v>
      </c>
      <c r="E14" s="143">
        <v>0</v>
      </c>
      <c r="F14" s="143">
        <v>0</v>
      </c>
      <c r="G14" s="143">
        <f>C14+D14+E14+F14</f>
        <v>23028.97</v>
      </c>
      <c r="H14" s="143" t="s">
        <v>83</v>
      </c>
      <c r="I14" s="201"/>
      <c r="J14" s="208"/>
      <c r="L14" s="193"/>
    </row>
    <row r="15" spans="2:12">
      <c r="B15" s="141">
        <v>7</v>
      </c>
      <c r="C15" s="143">
        <v>6709.5</v>
      </c>
      <c r="D15" s="143">
        <v>0</v>
      </c>
      <c r="E15" s="143">
        <v>0</v>
      </c>
      <c r="F15" s="143">
        <v>0</v>
      </c>
      <c r="G15" s="143">
        <f>C15+D15+E15+F15</f>
        <v>6709.5</v>
      </c>
      <c r="H15" s="143" t="s">
        <v>83</v>
      </c>
      <c r="I15" s="201"/>
      <c r="J15" s="208"/>
      <c r="L15" s="193"/>
    </row>
    <row r="16" spans="2:12">
      <c r="B16" s="141">
        <v>8</v>
      </c>
      <c r="C16" s="143">
        <v>1119.2</v>
      </c>
      <c r="D16" s="143">
        <v>0</v>
      </c>
      <c r="E16" s="143">
        <v>0</v>
      </c>
      <c r="F16" s="143">
        <v>0</v>
      </c>
      <c r="G16" s="143">
        <f>C16+D16+E16+F16</f>
        <v>1119.2</v>
      </c>
      <c r="H16" s="143" t="s">
        <v>83</v>
      </c>
      <c r="I16" s="201"/>
      <c r="J16" s="208"/>
    </row>
    <row r="17" spans="2:10">
      <c r="B17" s="141">
        <v>9</v>
      </c>
      <c r="C17" s="143">
        <v>48376.78</v>
      </c>
      <c r="D17" s="143">
        <v>0</v>
      </c>
      <c r="E17" s="143">
        <v>0</v>
      </c>
      <c r="F17" s="143">
        <v>0</v>
      </c>
      <c r="G17" s="143">
        <f>C17+D17+E17+F17</f>
        <v>48376.78</v>
      </c>
      <c r="H17" s="143" t="s">
        <v>83</v>
      </c>
      <c r="I17" s="144"/>
      <c r="J17" s="208"/>
    </row>
    <row r="18" spans="2:10">
      <c r="B18" s="141">
        <v>10</v>
      </c>
      <c r="C18" s="143">
        <v>10742.85</v>
      </c>
      <c r="D18" s="143">
        <v>0</v>
      </c>
      <c r="E18" s="143">
        <v>0</v>
      </c>
      <c r="F18" s="143">
        <v>0</v>
      </c>
      <c r="G18" s="143">
        <f>C18+D18+E18+F18</f>
        <v>10742.85</v>
      </c>
      <c r="H18" s="143" t="s">
        <v>83</v>
      </c>
      <c r="I18" s="144"/>
      <c r="J18" s="208"/>
    </row>
    <row r="19" spans="2:10">
      <c r="B19" s="141">
        <v>11</v>
      </c>
      <c r="C19" s="143">
        <v>1903.58</v>
      </c>
      <c r="D19" s="143">
        <v>0</v>
      </c>
      <c r="E19" s="143">
        <v>0</v>
      </c>
      <c r="F19" s="143">
        <v>0</v>
      </c>
      <c r="G19" s="143">
        <f>C19+D19+E19+F19</f>
        <v>1903.58</v>
      </c>
      <c r="H19" s="143" t="s">
        <v>83</v>
      </c>
      <c r="I19" s="144"/>
      <c r="J19" s="208"/>
    </row>
    <row r="20" spans="2:10">
      <c r="B20" s="141">
        <v>12</v>
      </c>
      <c r="C20" s="143">
        <v>4550.3999999999996</v>
      </c>
      <c r="D20" s="143">
        <v>0</v>
      </c>
      <c r="E20" s="143">
        <v>0</v>
      </c>
      <c r="F20" s="143">
        <v>0</v>
      </c>
      <c r="G20" s="143">
        <f>C20+D20+E20+F20</f>
        <v>4550.3999999999996</v>
      </c>
      <c r="H20" s="143" t="s">
        <v>83</v>
      </c>
      <c r="I20" s="144"/>
      <c r="J20" s="207"/>
    </row>
    <row r="21" spans="2:10">
      <c r="B21" s="141">
        <v>13</v>
      </c>
      <c r="C21" s="143">
        <v>53819.99</v>
      </c>
      <c r="D21" s="143">
        <v>0</v>
      </c>
      <c r="E21" s="143">
        <v>0</v>
      </c>
      <c r="F21" s="143">
        <v>0</v>
      </c>
      <c r="G21" s="143">
        <f>C21+D21+E21+F21</f>
        <v>53819.99</v>
      </c>
      <c r="H21" s="143" t="s">
        <v>83</v>
      </c>
      <c r="I21" s="144"/>
      <c r="J21" s="207"/>
    </row>
    <row r="22" spans="2:10">
      <c r="B22" s="141">
        <v>14</v>
      </c>
      <c r="C22" s="143">
        <v>1469.12</v>
      </c>
      <c r="D22" s="143">
        <v>0</v>
      </c>
      <c r="E22" s="143">
        <v>0</v>
      </c>
      <c r="F22" s="143">
        <v>0</v>
      </c>
      <c r="G22" s="143">
        <f>C22+D22+E22+F22</f>
        <v>1469.12</v>
      </c>
      <c r="H22" s="143" t="s">
        <v>83</v>
      </c>
      <c r="I22" s="144"/>
      <c r="J22" s="207"/>
    </row>
    <row r="23" spans="2:10">
      <c r="B23" s="141">
        <v>17</v>
      </c>
      <c r="C23" s="143">
        <v>743.2</v>
      </c>
      <c r="D23" s="143">
        <v>0</v>
      </c>
      <c r="E23" s="143">
        <v>222.96</v>
      </c>
      <c r="F23" s="143">
        <v>111.1</v>
      </c>
      <c r="G23" s="143">
        <f>C23+D23+E23+F23</f>
        <v>1077.26</v>
      </c>
      <c r="H23" s="143" t="s">
        <v>83</v>
      </c>
      <c r="I23" s="144"/>
      <c r="J23" s="207"/>
    </row>
    <row r="24" spans="2:10">
      <c r="B24" s="141">
        <v>18</v>
      </c>
      <c r="C24" s="143">
        <v>7701.66</v>
      </c>
      <c r="D24" s="143">
        <v>0</v>
      </c>
      <c r="E24" s="143">
        <v>2310.4899999999998</v>
      </c>
      <c r="F24" s="143">
        <v>1151.3900000000001</v>
      </c>
      <c r="G24" s="143">
        <f>C24+D24+E24+F24</f>
        <v>11163.539999999999</v>
      </c>
      <c r="H24" s="143" t="s">
        <v>83</v>
      </c>
      <c r="I24" s="201"/>
      <c r="J24" s="207"/>
    </row>
    <row r="25" spans="2:10">
      <c r="B25" s="141">
        <v>22</v>
      </c>
      <c r="C25" s="143">
        <v>443.78</v>
      </c>
      <c r="D25" s="143">
        <v>0</v>
      </c>
      <c r="E25" s="143">
        <v>133.13</v>
      </c>
      <c r="F25" s="143">
        <v>66.34</v>
      </c>
      <c r="G25" s="143">
        <f>C25+D25+E25+F25</f>
        <v>643.25</v>
      </c>
      <c r="H25" s="143" t="s">
        <v>83</v>
      </c>
      <c r="I25" s="201"/>
      <c r="J25" s="207"/>
    </row>
    <row r="26" spans="2:10">
      <c r="B26" s="141">
        <v>23</v>
      </c>
      <c r="C26" s="143">
        <v>116.35</v>
      </c>
      <c r="D26" s="143">
        <v>0</v>
      </c>
      <c r="E26" s="143">
        <v>11.63</v>
      </c>
      <c r="F26" s="143">
        <v>14.71</v>
      </c>
      <c r="G26" s="143">
        <f>C26+D26+E26+F26</f>
        <v>142.69</v>
      </c>
      <c r="H26" s="143" t="s">
        <v>83</v>
      </c>
      <c r="I26" s="201"/>
      <c r="J26" s="207"/>
    </row>
    <row r="27" spans="2:10">
      <c r="B27" s="141">
        <v>24</v>
      </c>
      <c r="C27" s="143">
        <v>12700.24</v>
      </c>
      <c r="D27" s="143">
        <v>0</v>
      </c>
      <c r="E27" s="143">
        <v>3810.07</v>
      </c>
      <c r="F27" s="143">
        <v>1898.68</v>
      </c>
      <c r="G27" s="143">
        <f>C27+D27+E27+F27</f>
        <v>18408.990000000002</v>
      </c>
      <c r="H27" s="143" t="s">
        <v>83</v>
      </c>
      <c r="I27" s="201"/>
      <c r="J27" s="207"/>
    </row>
    <row r="28" spans="2:10">
      <c r="B28" s="141">
        <v>25</v>
      </c>
      <c r="C28" s="143">
        <v>25408.46</v>
      </c>
      <c r="D28" s="143"/>
      <c r="E28" s="143">
        <v>7622.53</v>
      </c>
      <c r="F28" s="143">
        <v>3798.56</v>
      </c>
      <c r="G28" s="143">
        <f>C28+D28+E28+F28</f>
        <v>36829.549999999996</v>
      </c>
      <c r="H28" s="143" t="s">
        <v>83</v>
      </c>
      <c r="I28" s="201"/>
      <c r="J28" s="207"/>
    </row>
    <row r="29" spans="2:10">
      <c r="B29" s="141">
        <v>26</v>
      </c>
      <c r="C29" s="143">
        <v>59090.57</v>
      </c>
      <c r="D29" s="143">
        <v>0</v>
      </c>
      <c r="E29" s="143">
        <v>17727.169999999998</v>
      </c>
      <c r="F29" s="143">
        <v>8834.0400000000009</v>
      </c>
      <c r="G29" s="143">
        <f>C29+D29+E29+F29</f>
        <v>85651.78</v>
      </c>
      <c r="H29" s="143" t="s">
        <v>83</v>
      </c>
      <c r="I29" s="201"/>
      <c r="J29" s="207"/>
    </row>
    <row r="30" spans="2:10">
      <c r="B30" s="141">
        <v>27</v>
      </c>
      <c r="C30" s="143">
        <v>86.17</v>
      </c>
      <c r="D30" s="143">
        <v>0</v>
      </c>
      <c r="E30" s="143">
        <v>4.3</v>
      </c>
      <c r="F30" s="143">
        <v>10.4</v>
      </c>
      <c r="G30" s="143">
        <f>C30+D30+E30+F30</f>
        <v>100.87</v>
      </c>
      <c r="H30" s="143" t="s">
        <v>83</v>
      </c>
      <c r="I30" s="201"/>
      <c r="J30" s="207"/>
    </row>
    <row r="31" spans="2:10">
      <c r="B31" s="141">
        <v>28</v>
      </c>
      <c r="C31" s="143">
        <v>12406.59</v>
      </c>
      <c r="D31" s="143">
        <v>0</v>
      </c>
      <c r="E31" s="143">
        <v>620.32000000000005</v>
      </c>
      <c r="F31" s="143">
        <v>1498.09</v>
      </c>
      <c r="G31" s="143">
        <f>C31+D31+E31+F31</f>
        <v>14525</v>
      </c>
      <c r="H31" s="143" t="s">
        <v>83</v>
      </c>
      <c r="I31" s="201"/>
      <c r="J31" s="207"/>
    </row>
    <row r="32" spans="2:10">
      <c r="B32" s="141">
        <v>29</v>
      </c>
      <c r="C32" s="143">
        <v>2775.25</v>
      </c>
      <c r="D32" s="143">
        <v>0</v>
      </c>
      <c r="E32" s="143">
        <v>555.04999999999995</v>
      </c>
      <c r="F32" s="143">
        <v>382.98</v>
      </c>
      <c r="G32" s="143">
        <f>C32+D32+E32+F32</f>
        <v>3713.28</v>
      </c>
      <c r="H32" s="143" t="s">
        <v>83</v>
      </c>
      <c r="I32" s="201"/>
      <c r="J32" s="207"/>
    </row>
    <row r="33" spans="2:10">
      <c r="B33" s="141">
        <v>34</v>
      </c>
      <c r="C33" s="143">
        <v>4144.21</v>
      </c>
      <c r="D33" s="143">
        <v>0</v>
      </c>
      <c r="E33" s="143">
        <v>207.21</v>
      </c>
      <c r="F33" s="143">
        <v>500.41</v>
      </c>
      <c r="G33" s="143">
        <f>C33+D33+E33+F33</f>
        <v>4851.83</v>
      </c>
      <c r="H33" s="143" t="s">
        <v>83</v>
      </c>
      <c r="I33" s="201"/>
      <c r="J33" s="207"/>
    </row>
    <row r="34" spans="2:10">
      <c r="B34" s="141">
        <v>35</v>
      </c>
      <c r="C34" s="143">
        <v>23569.08</v>
      </c>
      <c r="D34" s="143">
        <v>0</v>
      </c>
      <c r="E34" s="143">
        <v>2356.9</v>
      </c>
      <c r="F34" s="143">
        <v>2981.48</v>
      </c>
      <c r="G34" s="143">
        <f>C34+D34+E34+F34</f>
        <v>28907.460000000003</v>
      </c>
      <c r="H34" s="143" t="s">
        <v>83</v>
      </c>
      <c r="I34" s="201"/>
      <c r="J34" s="207"/>
    </row>
    <row r="35" spans="2:10">
      <c r="B35" s="141">
        <v>37</v>
      </c>
      <c r="C35" s="143">
        <v>116.35</v>
      </c>
      <c r="D35" s="143">
        <v>0</v>
      </c>
      <c r="E35" s="143">
        <v>23.27</v>
      </c>
      <c r="F35" s="143">
        <v>16.05</v>
      </c>
      <c r="G35" s="143">
        <f>C35+D35+E35+F35</f>
        <v>155.67000000000002</v>
      </c>
      <c r="H35" s="143" t="s">
        <v>83</v>
      </c>
      <c r="I35" s="201"/>
      <c r="J35" s="207"/>
    </row>
    <row r="36" spans="2:10">
      <c r="B36" s="141">
        <v>38</v>
      </c>
      <c r="C36" s="143">
        <v>868.62</v>
      </c>
      <c r="D36" s="143">
        <v>0</v>
      </c>
      <c r="E36" s="143">
        <v>173.72</v>
      </c>
      <c r="F36" s="143">
        <v>119.86</v>
      </c>
      <c r="G36" s="143">
        <f>C36+D36+E36+F36</f>
        <v>1162.1999999999998</v>
      </c>
      <c r="H36" s="143" t="s">
        <v>83</v>
      </c>
      <c r="I36" s="201"/>
      <c r="J36" s="207"/>
    </row>
    <row r="37" spans="2:10">
      <c r="B37" s="141">
        <v>39</v>
      </c>
      <c r="C37" s="143">
        <v>2017.2</v>
      </c>
      <c r="D37" s="143">
        <v>0</v>
      </c>
      <c r="E37" s="143">
        <v>100.86</v>
      </c>
      <c r="F37" s="143">
        <v>243.57</v>
      </c>
      <c r="G37" s="143">
        <f>C37+D37+E37+F37</f>
        <v>2361.63</v>
      </c>
      <c r="H37" s="143" t="s">
        <v>83</v>
      </c>
      <c r="I37" s="201"/>
      <c r="J37" s="207"/>
    </row>
    <row r="38" spans="2:10">
      <c r="B38" s="141">
        <v>41</v>
      </c>
      <c r="C38" s="143">
        <v>16496.18</v>
      </c>
      <c r="D38" s="143">
        <v>0</v>
      </c>
      <c r="E38" s="143">
        <v>824.8</v>
      </c>
      <c r="F38" s="143">
        <v>1991.91</v>
      </c>
      <c r="G38" s="143">
        <f>C38+D38+E38+F38</f>
        <v>19312.89</v>
      </c>
      <c r="H38" s="143" t="s">
        <v>83</v>
      </c>
      <c r="I38" s="201"/>
      <c r="J38" s="207"/>
    </row>
    <row r="39" spans="2:10">
      <c r="B39" s="141">
        <v>42</v>
      </c>
      <c r="C39" s="143">
        <v>1034.67</v>
      </c>
      <c r="D39" s="143">
        <v>0</v>
      </c>
      <c r="E39" s="143">
        <v>51.73</v>
      </c>
      <c r="F39" s="143">
        <v>124.93</v>
      </c>
      <c r="G39" s="143">
        <f>C39+D39+E39+F39</f>
        <v>1211.3300000000002</v>
      </c>
      <c r="H39" s="143" t="s">
        <v>83</v>
      </c>
      <c r="I39" s="201"/>
      <c r="J39" s="207"/>
    </row>
    <row r="40" spans="2:10">
      <c r="B40" s="141">
        <v>43</v>
      </c>
      <c r="C40" s="143">
        <v>2330.63</v>
      </c>
      <c r="D40" s="143">
        <v>0</v>
      </c>
      <c r="E40" s="143">
        <v>116.53</v>
      </c>
      <c r="F40" s="143">
        <v>281.42</v>
      </c>
      <c r="G40" s="143">
        <f>C40+D40+E40+F40</f>
        <v>2728.5800000000004</v>
      </c>
      <c r="H40" s="143" t="s">
        <v>83</v>
      </c>
      <c r="I40" s="201"/>
      <c r="J40" s="207"/>
    </row>
    <row r="41" spans="2:10">
      <c r="B41" s="141">
        <v>48</v>
      </c>
      <c r="C41" s="143">
        <v>11185.54</v>
      </c>
      <c r="D41" s="143">
        <v>0</v>
      </c>
      <c r="E41" s="143">
        <v>2237.1</v>
      </c>
      <c r="F41" s="143">
        <v>1543.6</v>
      </c>
      <c r="G41" s="143">
        <f>C41+D41+E41+F41</f>
        <v>14966.240000000002</v>
      </c>
      <c r="H41" s="143" t="s">
        <v>83</v>
      </c>
      <c r="I41" s="201"/>
      <c r="J41" s="207"/>
    </row>
    <row r="42" spans="2:10">
      <c r="B42" s="141">
        <v>49</v>
      </c>
      <c r="C42" s="143">
        <v>1704.05</v>
      </c>
      <c r="D42" s="143">
        <v>0</v>
      </c>
      <c r="E42" s="143">
        <v>85.2</v>
      </c>
      <c r="F42" s="143">
        <v>205.76</v>
      </c>
      <c r="G42" s="143">
        <f>C42+D42+E42+F42</f>
        <v>1995.01</v>
      </c>
      <c r="H42" s="143" t="s">
        <v>83</v>
      </c>
      <c r="I42" s="201"/>
      <c r="J42" s="207"/>
    </row>
    <row r="43" spans="2:10">
      <c r="B43" s="141">
        <v>50</v>
      </c>
      <c r="C43" s="143">
        <v>7996.14</v>
      </c>
      <c r="D43" s="143">
        <v>0</v>
      </c>
      <c r="E43" s="143">
        <v>1599.22</v>
      </c>
      <c r="F43" s="143">
        <v>1103.46</v>
      </c>
      <c r="G43" s="143">
        <f>C43+D43+E43+F43</f>
        <v>10698.82</v>
      </c>
      <c r="H43" s="143" t="s">
        <v>83</v>
      </c>
      <c r="I43" s="201"/>
      <c r="J43" s="207"/>
    </row>
    <row r="44" spans="2:10">
      <c r="B44" s="141">
        <v>51</v>
      </c>
      <c r="C44" s="143">
        <v>6336.8</v>
      </c>
      <c r="D44" s="143">
        <v>0</v>
      </c>
      <c r="E44" s="143">
        <v>633.67999999999995</v>
      </c>
      <c r="F44" s="143">
        <v>801.6</v>
      </c>
      <c r="G44" s="143">
        <f>C44+D44+E44+F44</f>
        <v>7772.0800000000008</v>
      </c>
      <c r="H44" s="143" t="s">
        <v>83</v>
      </c>
      <c r="I44" s="201"/>
      <c r="J44" s="207"/>
    </row>
    <row r="45" spans="2:10">
      <c r="B45" s="141">
        <v>52</v>
      </c>
      <c r="C45" s="143">
        <v>15093.47</v>
      </c>
      <c r="D45" s="143">
        <v>0</v>
      </c>
      <c r="E45" s="143">
        <v>1509.34</v>
      </c>
      <c r="F45" s="143">
        <v>1909.32</v>
      </c>
      <c r="G45" s="143">
        <f>C45+D45+E45+F45</f>
        <v>18512.129999999997</v>
      </c>
      <c r="H45" s="143" t="s">
        <v>83</v>
      </c>
      <c r="I45" s="201"/>
      <c r="J45" s="207"/>
    </row>
    <row r="46" spans="2:10">
      <c r="B46" s="141">
        <v>53</v>
      </c>
      <c r="C46" s="143">
        <v>414.41</v>
      </c>
      <c r="D46" s="143">
        <v>0</v>
      </c>
      <c r="E46" s="143">
        <v>82.88</v>
      </c>
      <c r="F46" s="143">
        <v>57.18</v>
      </c>
      <c r="G46" s="143">
        <f>C46+D46+E46+F46</f>
        <v>554.47</v>
      </c>
      <c r="H46" s="143" t="s">
        <v>83</v>
      </c>
      <c r="I46" s="201"/>
      <c r="J46" s="207"/>
    </row>
    <row r="47" spans="2:10">
      <c r="B47" s="141">
        <v>55</v>
      </c>
      <c r="C47" s="143">
        <v>3157.55</v>
      </c>
      <c r="D47" s="143">
        <v>0</v>
      </c>
      <c r="E47" s="143">
        <v>631.51</v>
      </c>
      <c r="F47" s="143">
        <v>435.74</v>
      </c>
      <c r="G47" s="143">
        <f>C47+D47+E47+F47</f>
        <v>4224.8</v>
      </c>
      <c r="H47" s="143" t="s">
        <v>83</v>
      </c>
      <c r="I47" s="201"/>
      <c r="J47" s="207"/>
    </row>
    <row r="48" spans="2:10">
      <c r="B48" s="141">
        <v>56</v>
      </c>
      <c r="C48" s="143">
        <v>1016.01</v>
      </c>
      <c r="D48" s="143">
        <v>0</v>
      </c>
      <c r="E48" s="143">
        <v>304.8</v>
      </c>
      <c r="F48" s="143">
        <v>151.88999999999999</v>
      </c>
      <c r="G48" s="143">
        <f>C48+D48+E48+F48</f>
        <v>1472.6999999999998</v>
      </c>
      <c r="H48" s="143" t="s">
        <v>83</v>
      </c>
      <c r="I48" s="201"/>
      <c r="J48" s="207"/>
    </row>
    <row r="49" spans="2:10">
      <c r="B49" s="141">
        <v>57</v>
      </c>
      <c r="C49" s="143">
        <v>13745.08</v>
      </c>
      <c r="D49" s="143">
        <v>0</v>
      </c>
      <c r="E49" s="143">
        <v>4123.5200000000004</v>
      </c>
      <c r="F49" s="143">
        <v>2054.88</v>
      </c>
      <c r="G49" s="143">
        <f>C49+D49+E49+F49</f>
        <v>19923.48</v>
      </c>
      <c r="H49" s="143" t="s">
        <v>83</v>
      </c>
      <c r="I49" s="201"/>
      <c r="J49" s="207"/>
    </row>
    <row r="50" spans="2:10">
      <c r="B50" s="141">
        <v>58</v>
      </c>
      <c r="C50" s="143">
        <v>469.29</v>
      </c>
      <c r="D50" s="143">
        <v>0</v>
      </c>
      <c r="E50" s="143">
        <v>93.85</v>
      </c>
      <c r="F50" s="143">
        <v>64.760000000000005</v>
      </c>
      <c r="G50" s="143">
        <f>C50+D50+E50+F50</f>
        <v>627.9</v>
      </c>
      <c r="H50" s="143" t="s">
        <v>83</v>
      </c>
      <c r="I50" s="201"/>
      <c r="J50" s="207"/>
    </row>
    <row r="51" spans="2:10">
      <c r="B51" s="141">
        <v>59</v>
      </c>
      <c r="C51" s="143">
        <v>1288.26</v>
      </c>
      <c r="D51" s="143">
        <v>0</v>
      </c>
      <c r="E51" s="143">
        <v>257.64999999999998</v>
      </c>
      <c r="F51" s="143">
        <v>177.77</v>
      </c>
      <c r="G51" s="143">
        <f>C51+D51+E51+F51</f>
        <v>1723.6799999999998</v>
      </c>
      <c r="H51" s="143" t="s">
        <v>83</v>
      </c>
      <c r="I51" s="201"/>
      <c r="J51" s="207"/>
    </row>
    <row r="52" spans="2:10">
      <c r="B52" s="141">
        <v>60</v>
      </c>
      <c r="C52" s="143">
        <v>361.43</v>
      </c>
      <c r="D52" s="143">
        <v>0</v>
      </c>
      <c r="E52" s="143">
        <v>72.28</v>
      </c>
      <c r="F52" s="143">
        <v>49.87</v>
      </c>
      <c r="G52" s="143">
        <f>C52+D52+E52+F52</f>
        <v>483.58000000000004</v>
      </c>
      <c r="H52" s="143" t="s">
        <v>83</v>
      </c>
      <c r="I52" s="201"/>
      <c r="J52" s="207"/>
    </row>
    <row r="53" spans="2:10">
      <c r="B53" s="141">
        <v>61</v>
      </c>
      <c r="C53" s="143">
        <v>17303.900000000001</v>
      </c>
      <c r="D53" s="143">
        <v>0</v>
      </c>
      <c r="E53" s="143">
        <v>3460.78</v>
      </c>
      <c r="F53" s="143">
        <v>2387.9299999999998</v>
      </c>
      <c r="G53" s="143">
        <f>C53+D53+E53+F53</f>
        <v>23152.61</v>
      </c>
      <c r="H53" s="143" t="s">
        <v>83</v>
      </c>
      <c r="I53" s="201"/>
      <c r="J53" s="207"/>
    </row>
    <row r="54" spans="2:10">
      <c r="B54" s="141">
        <v>62</v>
      </c>
      <c r="C54" s="143">
        <v>36439.769999999997</v>
      </c>
      <c r="D54" s="143">
        <v>0</v>
      </c>
      <c r="E54" s="143">
        <v>7287.95</v>
      </c>
      <c r="F54" s="143">
        <v>5028.68</v>
      </c>
      <c r="G54" s="143">
        <f>C54+D54+E54+F54</f>
        <v>48756.399999999994</v>
      </c>
      <c r="H54" s="143" t="s">
        <v>83</v>
      </c>
      <c r="I54" s="201"/>
      <c r="J54" s="207"/>
    </row>
    <row r="55" spans="2:10">
      <c r="B55" s="141">
        <v>63</v>
      </c>
      <c r="C55" s="143">
        <v>1282.5</v>
      </c>
      <c r="D55" s="143">
        <v>0</v>
      </c>
      <c r="E55" s="143">
        <v>256.5</v>
      </c>
      <c r="F55" s="143">
        <v>176.98</v>
      </c>
      <c r="G55" s="143">
        <f>C55+D55+E55+F55</f>
        <v>1715.98</v>
      </c>
      <c r="H55" s="143" t="s">
        <v>83</v>
      </c>
      <c r="I55" s="201"/>
      <c r="J55" s="207"/>
    </row>
    <row r="56" spans="2:10">
      <c r="B56" s="141">
        <v>64</v>
      </c>
      <c r="C56" s="143">
        <v>147.91</v>
      </c>
      <c r="D56" s="143">
        <v>0</v>
      </c>
      <c r="E56" s="143">
        <v>29.58</v>
      </c>
      <c r="F56" s="143">
        <v>20.41</v>
      </c>
      <c r="G56" s="143">
        <f>C56+D56+E56+F56</f>
        <v>197.9</v>
      </c>
      <c r="H56" s="143" t="s">
        <v>83</v>
      </c>
      <c r="I56" s="201"/>
      <c r="J56" s="207"/>
    </row>
    <row r="57" spans="2:10">
      <c r="B57" s="141">
        <v>65</v>
      </c>
      <c r="C57" s="143">
        <v>2171.7199999999998</v>
      </c>
      <c r="D57" s="143">
        <v>0</v>
      </c>
      <c r="E57" s="143">
        <v>434.34</v>
      </c>
      <c r="F57" s="143">
        <v>299.69</v>
      </c>
      <c r="G57" s="143">
        <f>C57+D57+E57+F57</f>
        <v>2905.75</v>
      </c>
      <c r="H57" s="143" t="s">
        <v>83</v>
      </c>
      <c r="I57" s="201"/>
      <c r="J57" s="207"/>
    </row>
    <row r="58" spans="2:10">
      <c r="B58" s="141">
        <v>66</v>
      </c>
      <c r="C58" s="143">
        <v>4935.18</v>
      </c>
      <c r="D58" s="143">
        <v>0</v>
      </c>
      <c r="E58" s="143">
        <v>1480.55</v>
      </c>
      <c r="F58" s="143">
        <v>737.8</v>
      </c>
      <c r="G58" s="143">
        <f>C58+D58+E58+F58</f>
        <v>7153.5300000000007</v>
      </c>
      <c r="H58" s="143" t="s">
        <v>83</v>
      </c>
      <c r="I58" s="201"/>
      <c r="J58" s="207"/>
    </row>
    <row r="59" spans="2:10">
      <c r="B59" s="141">
        <v>67</v>
      </c>
      <c r="C59" s="143">
        <v>1526.21</v>
      </c>
      <c r="D59" s="143">
        <v>0</v>
      </c>
      <c r="E59" s="143">
        <v>457.86</v>
      </c>
      <c r="F59" s="143">
        <v>228.16</v>
      </c>
      <c r="G59" s="143">
        <f>C59+D59+E59+F59</f>
        <v>2212.23</v>
      </c>
      <c r="H59" s="143" t="s">
        <v>83</v>
      </c>
      <c r="I59" s="201"/>
      <c r="J59" s="207"/>
    </row>
    <row r="60" spans="2:10">
      <c r="B60" s="141">
        <v>68</v>
      </c>
      <c r="C60" s="143">
        <v>1217.17</v>
      </c>
      <c r="D60" s="143">
        <v>0</v>
      </c>
      <c r="E60" s="143">
        <v>121.71</v>
      </c>
      <c r="F60" s="143">
        <v>153.97</v>
      </c>
      <c r="G60" s="143">
        <f>C60+D60+E60+F60</f>
        <v>1492.8500000000001</v>
      </c>
      <c r="H60" s="143" t="s">
        <v>83</v>
      </c>
      <c r="I60" s="201"/>
      <c r="J60" s="207"/>
    </row>
    <row r="61" spans="2:10">
      <c r="B61" s="141">
        <v>70</v>
      </c>
      <c r="C61" s="143">
        <v>1457.32</v>
      </c>
      <c r="D61" s="143">
        <v>0</v>
      </c>
      <c r="E61" s="143">
        <v>291.45999999999998</v>
      </c>
      <c r="F61" s="143">
        <v>201.1</v>
      </c>
      <c r="G61" s="143">
        <f>C61+D61+E61+F61</f>
        <v>1949.8799999999999</v>
      </c>
      <c r="H61" s="143" t="s">
        <v>83</v>
      </c>
      <c r="I61" s="201"/>
      <c r="J61" s="207"/>
    </row>
    <row r="62" spans="2:10">
      <c r="B62" s="141">
        <v>71</v>
      </c>
      <c r="C62" s="143">
        <v>246.44</v>
      </c>
      <c r="D62" s="143">
        <v>0</v>
      </c>
      <c r="E62" s="143">
        <v>24.64</v>
      </c>
      <c r="F62" s="143">
        <v>31.17</v>
      </c>
      <c r="G62" s="143">
        <f>C62+D62+E62+F62</f>
        <v>302.25</v>
      </c>
      <c r="H62" s="143" t="s">
        <v>83</v>
      </c>
      <c r="I62" s="201"/>
      <c r="J62" s="207"/>
    </row>
    <row r="63" spans="2:10">
      <c r="B63" s="141">
        <v>72</v>
      </c>
      <c r="C63" s="143">
        <v>36206.49</v>
      </c>
      <c r="D63" s="143">
        <v>0</v>
      </c>
      <c r="E63" s="143">
        <v>7241.29</v>
      </c>
      <c r="F63" s="143">
        <v>4996.49</v>
      </c>
      <c r="G63" s="143">
        <f>C63+D63+E63+F63</f>
        <v>48444.27</v>
      </c>
      <c r="H63" s="143" t="s">
        <v>83</v>
      </c>
      <c r="I63" s="201"/>
      <c r="J63" s="207"/>
    </row>
    <row r="64" spans="2:10">
      <c r="B64" s="141">
        <v>73</v>
      </c>
      <c r="C64" s="143">
        <v>1495.47</v>
      </c>
      <c r="D64" s="143">
        <v>0</v>
      </c>
      <c r="E64" s="143">
        <v>149.54</v>
      </c>
      <c r="F64" s="143">
        <v>189.17</v>
      </c>
      <c r="G64" s="143">
        <f>C64+D64+E64+F64</f>
        <v>1834.18</v>
      </c>
      <c r="H64" s="143" t="s">
        <v>83</v>
      </c>
      <c r="I64" s="201"/>
      <c r="J64" s="207"/>
    </row>
    <row r="65" spans="2:10">
      <c r="B65" s="141">
        <v>74</v>
      </c>
      <c r="C65" s="143">
        <v>20989.24</v>
      </c>
      <c r="D65" s="143">
        <v>0</v>
      </c>
      <c r="E65" s="143">
        <v>2098.92</v>
      </c>
      <c r="F65" s="143">
        <v>2655.13</v>
      </c>
      <c r="G65" s="143">
        <f>C65+D65+E65+F65</f>
        <v>25743.290000000005</v>
      </c>
      <c r="H65" s="143" t="s">
        <v>83</v>
      </c>
      <c r="I65" s="201"/>
      <c r="J65" s="207"/>
    </row>
    <row r="66" spans="2:10">
      <c r="B66" s="141">
        <v>75</v>
      </c>
      <c r="C66" s="143">
        <v>27088.65</v>
      </c>
      <c r="D66" s="143">
        <v>0</v>
      </c>
      <c r="E66" s="143">
        <v>2708.86</v>
      </c>
      <c r="F66" s="143">
        <v>3426.71</v>
      </c>
      <c r="G66" s="143">
        <f>C66+D66+E66+F66</f>
        <v>33224.22</v>
      </c>
      <c r="H66" s="143" t="s">
        <v>83</v>
      </c>
      <c r="I66" s="201"/>
      <c r="J66" s="207"/>
    </row>
    <row r="67" spans="2:10">
      <c r="B67" s="141">
        <v>76</v>
      </c>
      <c r="C67" s="143">
        <v>5923.48</v>
      </c>
      <c r="D67" s="143">
        <v>0</v>
      </c>
      <c r="E67" s="143">
        <v>0</v>
      </c>
      <c r="F67" s="143">
        <v>0</v>
      </c>
      <c r="G67" s="143">
        <f>C67+D67+E67+F67</f>
        <v>5923.48</v>
      </c>
      <c r="H67" s="143" t="s">
        <v>83</v>
      </c>
      <c r="I67" s="201"/>
      <c r="J67" s="207"/>
    </row>
    <row r="68" spans="2:10">
      <c r="B68" s="141">
        <v>77</v>
      </c>
      <c r="C68" s="143">
        <v>985.27</v>
      </c>
      <c r="D68" s="143">
        <v>0</v>
      </c>
      <c r="E68" s="143">
        <v>344.84</v>
      </c>
      <c r="F68" s="143">
        <v>152.96</v>
      </c>
      <c r="G68" s="143">
        <f>C68+D68+E68+F68</f>
        <v>1483.07</v>
      </c>
      <c r="H68" s="143" t="s">
        <v>83</v>
      </c>
      <c r="I68" s="201"/>
      <c r="J68" s="207"/>
    </row>
    <row r="69" spans="2:10">
      <c r="B69" s="141">
        <v>79</v>
      </c>
      <c r="C69" s="143">
        <v>24778.87</v>
      </c>
      <c r="D69" s="143">
        <v>3345.14</v>
      </c>
      <c r="E69" s="143">
        <v>8672.6</v>
      </c>
      <c r="F69" s="143">
        <v>4231.6099999999997</v>
      </c>
      <c r="G69" s="143">
        <f>C69+D69+E69+F69</f>
        <v>41028.22</v>
      </c>
      <c r="H69" s="143" t="s">
        <v>83</v>
      </c>
      <c r="I69" s="201"/>
      <c r="J69" s="207"/>
    </row>
    <row r="70" spans="2:10">
      <c r="B70" s="141">
        <v>80</v>
      </c>
      <c r="C70" s="143">
        <v>23671.18</v>
      </c>
      <c r="D70" s="143">
        <v>3195.6</v>
      </c>
      <c r="E70" s="143">
        <v>8284.91</v>
      </c>
      <c r="F70" s="143">
        <v>4042.44</v>
      </c>
      <c r="G70" s="143">
        <f>C70+D70+E70+F70</f>
        <v>39194.130000000005</v>
      </c>
      <c r="H70" s="143" t="s">
        <v>83</v>
      </c>
      <c r="I70" s="201"/>
      <c r="J70" s="207"/>
    </row>
    <row r="71" spans="2:10">
      <c r="B71" s="141">
        <v>82</v>
      </c>
      <c r="C71" s="143">
        <v>323.56</v>
      </c>
      <c r="D71" s="143">
        <v>0</v>
      </c>
      <c r="E71" s="143">
        <v>16.170000000000002</v>
      </c>
      <c r="F71" s="143"/>
      <c r="G71" s="143">
        <f>C71+D71+E71+F71</f>
        <v>339.73</v>
      </c>
      <c r="H71" s="143" t="s">
        <v>83</v>
      </c>
      <c r="I71" s="201"/>
      <c r="J71" s="207"/>
    </row>
    <row r="72" spans="2:10">
      <c r="B72" s="141">
        <v>83</v>
      </c>
      <c r="C72" s="143">
        <v>606.24</v>
      </c>
      <c r="D72" s="143">
        <v>0</v>
      </c>
      <c r="E72" s="143">
        <v>60.62</v>
      </c>
      <c r="F72" s="143">
        <v>76.680000000000007</v>
      </c>
      <c r="G72" s="143">
        <f>C72+D72+E72+F72</f>
        <v>743.54</v>
      </c>
      <c r="H72" s="143" t="s">
        <v>83</v>
      </c>
      <c r="I72" s="201"/>
      <c r="J72" s="207"/>
    </row>
    <row r="73" spans="2:10">
      <c r="B73" s="141">
        <v>84</v>
      </c>
      <c r="C73" s="143">
        <v>3451.49</v>
      </c>
      <c r="D73" s="143">
        <v>0</v>
      </c>
      <c r="E73" s="143">
        <v>1208.02</v>
      </c>
      <c r="F73" s="143">
        <v>535.84</v>
      </c>
      <c r="G73" s="143">
        <f>C73+D73+E73+F73</f>
        <v>5195.3500000000004</v>
      </c>
      <c r="H73" s="143" t="s">
        <v>83</v>
      </c>
      <c r="I73" s="201"/>
      <c r="J73" s="207"/>
    </row>
    <row r="74" spans="2:10">
      <c r="B74" s="141">
        <v>85</v>
      </c>
      <c r="C74" s="143">
        <v>3550.57</v>
      </c>
      <c r="D74" s="143">
        <v>0</v>
      </c>
      <c r="E74" s="143">
        <v>710.11</v>
      </c>
      <c r="F74" s="143">
        <v>489.97</v>
      </c>
      <c r="G74" s="143">
        <f>C74+D74+E74+F74</f>
        <v>4750.6500000000005</v>
      </c>
      <c r="H74" s="143" t="s">
        <v>83</v>
      </c>
      <c r="I74" s="201"/>
      <c r="J74" s="207"/>
    </row>
    <row r="75" spans="2:10">
      <c r="B75" s="141">
        <v>86</v>
      </c>
      <c r="C75" s="143">
        <v>3060.67</v>
      </c>
      <c r="D75" s="143">
        <v>0</v>
      </c>
      <c r="E75" s="143">
        <v>918.2</v>
      </c>
      <c r="F75" s="143">
        <v>457.57</v>
      </c>
      <c r="G75" s="143">
        <f>C75+D75+E75+F75</f>
        <v>4436.4399999999996</v>
      </c>
      <c r="H75" s="143" t="s">
        <v>83</v>
      </c>
      <c r="I75" s="201"/>
      <c r="J75" s="207"/>
    </row>
    <row r="76" spans="2:10">
      <c r="B76" s="141">
        <v>87</v>
      </c>
      <c r="C76" s="143">
        <v>1713.93</v>
      </c>
      <c r="D76" s="143">
        <v>0</v>
      </c>
      <c r="E76" s="143">
        <v>171.39</v>
      </c>
      <c r="F76" s="143">
        <v>216.81</v>
      </c>
      <c r="G76" s="143">
        <f>C76+D76+E76+F76</f>
        <v>2102.13</v>
      </c>
      <c r="H76" s="143" t="s">
        <v>83</v>
      </c>
      <c r="I76" s="201"/>
      <c r="J76" s="207"/>
    </row>
    <row r="77" spans="2:10">
      <c r="B77" s="141">
        <v>88</v>
      </c>
      <c r="C77" s="143">
        <v>517.6</v>
      </c>
      <c r="D77" s="143">
        <v>0</v>
      </c>
      <c r="E77" s="143">
        <v>51.76</v>
      </c>
      <c r="F77" s="143">
        <v>65.47</v>
      </c>
      <c r="G77" s="143">
        <f>C77+D77+E77+F77</f>
        <v>634.83000000000004</v>
      </c>
      <c r="H77" s="143" t="s">
        <v>83</v>
      </c>
      <c r="I77" s="201"/>
      <c r="J77" s="207"/>
    </row>
    <row r="78" spans="2:10">
      <c r="B78" s="141">
        <v>89</v>
      </c>
      <c r="C78" s="143">
        <v>5181.91</v>
      </c>
      <c r="D78" s="143">
        <v>0</v>
      </c>
      <c r="E78" s="143">
        <v>518.19000000000005</v>
      </c>
      <c r="F78" s="143">
        <v>655.51</v>
      </c>
      <c r="G78" s="143">
        <f>C78+D78+E78+F78</f>
        <v>6355.6100000000006</v>
      </c>
      <c r="H78" s="143" t="s">
        <v>83</v>
      </c>
      <c r="I78" s="201"/>
      <c r="J78" s="207"/>
    </row>
    <row r="79" spans="2:10">
      <c r="B79" s="141">
        <v>90</v>
      </c>
      <c r="C79" s="143">
        <v>65.02</v>
      </c>
      <c r="D79" s="143">
        <v>0</v>
      </c>
      <c r="E79" s="143">
        <v>3.25</v>
      </c>
      <c r="F79" s="143">
        <v>0</v>
      </c>
      <c r="G79" s="143">
        <f>C79+D79+E79+F79</f>
        <v>68.27</v>
      </c>
      <c r="H79" s="143" t="s">
        <v>83</v>
      </c>
      <c r="I79" s="211"/>
      <c r="J79" s="209">
        <f>SUM(G10:G79)</f>
        <v>848136.65</v>
      </c>
    </row>
    <row r="80" spans="2:10">
      <c r="B80" s="141">
        <v>3</v>
      </c>
      <c r="C80" s="143">
        <v>35385</v>
      </c>
      <c r="D80" s="143">
        <v>0</v>
      </c>
      <c r="E80" s="143">
        <v>0</v>
      </c>
      <c r="F80" s="143">
        <v>0</v>
      </c>
      <c r="G80" s="143">
        <f>C80+D80+E80+F80</f>
        <v>35385</v>
      </c>
      <c r="H80" s="143" t="s">
        <v>82</v>
      </c>
      <c r="I80" s="211" t="s">
        <v>96</v>
      </c>
      <c r="J80" s="209">
        <f>G80</f>
        <v>35385</v>
      </c>
    </row>
    <row r="81" spans="2:10">
      <c r="B81" s="141">
        <v>20</v>
      </c>
      <c r="C81" s="143">
        <v>13366.05</v>
      </c>
      <c r="D81" s="143">
        <v>0</v>
      </c>
      <c r="E81" s="143">
        <v>4009.81</v>
      </c>
      <c r="F81" s="143">
        <v>1998.22</v>
      </c>
      <c r="G81" s="143">
        <f>C81+D81+E81+F81</f>
        <v>19374.080000000002</v>
      </c>
      <c r="H81" s="143" t="s">
        <v>82</v>
      </c>
      <c r="I81" s="211" t="s">
        <v>98</v>
      </c>
      <c r="J81" s="209">
        <f t="shared" ref="J81:J87" si="0">G81</f>
        <v>19374.080000000002</v>
      </c>
    </row>
    <row r="82" spans="2:10">
      <c r="B82" s="141">
        <v>21</v>
      </c>
      <c r="C82" s="143">
        <v>42517.78</v>
      </c>
      <c r="D82" s="143">
        <v>0</v>
      </c>
      <c r="E82" s="143">
        <v>14881.22</v>
      </c>
      <c r="F82" s="143">
        <v>6600.88</v>
      </c>
      <c r="G82" s="143">
        <f>C82+D82+E82+F82</f>
        <v>63999.88</v>
      </c>
      <c r="H82" s="143" t="s">
        <v>82</v>
      </c>
      <c r="I82" s="211" t="s">
        <v>99</v>
      </c>
      <c r="J82" s="209">
        <f t="shared" si="0"/>
        <v>63999.88</v>
      </c>
    </row>
    <row r="83" spans="2:10">
      <c r="B83" s="141">
        <v>36</v>
      </c>
      <c r="C83" s="143">
        <v>19509.11</v>
      </c>
      <c r="D83" s="143">
        <v>0</v>
      </c>
      <c r="E83" s="143">
        <v>975.45</v>
      </c>
      <c r="F83" s="143">
        <v>2355.7199999999998</v>
      </c>
      <c r="G83" s="143">
        <f>C83+D83+E83+F83</f>
        <v>22840.280000000002</v>
      </c>
      <c r="H83" s="143" t="s">
        <v>82</v>
      </c>
      <c r="I83" s="211" t="s">
        <v>100</v>
      </c>
      <c r="J83" s="209">
        <f t="shared" si="0"/>
        <v>22840.280000000002</v>
      </c>
    </row>
    <row r="84" spans="2:10">
      <c r="B84" s="141">
        <v>40</v>
      </c>
      <c r="C84" s="143">
        <v>21706.93</v>
      </c>
      <c r="D84" s="143">
        <v>0</v>
      </c>
      <c r="E84" s="143">
        <v>0</v>
      </c>
      <c r="F84" s="143">
        <v>0</v>
      </c>
      <c r="G84" s="143">
        <f>C84+D84+E84+F84</f>
        <v>21706.93</v>
      </c>
      <c r="H84" s="143" t="s">
        <v>82</v>
      </c>
      <c r="I84" s="211" t="s">
        <v>101</v>
      </c>
      <c r="J84" s="209">
        <f t="shared" si="0"/>
        <v>21706.93</v>
      </c>
    </row>
    <row r="85" spans="2:10">
      <c r="B85" s="141">
        <v>46</v>
      </c>
      <c r="C85" s="143">
        <v>20226.810000000001</v>
      </c>
      <c r="D85" s="143">
        <v>0</v>
      </c>
      <c r="E85" s="143">
        <v>2022.68</v>
      </c>
      <c r="F85" s="143">
        <v>2558.69</v>
      </c>
      <c r="G85" s="143">
        <f>C85+D85+E85+F85</f>
        <v>24808.18</v>
      </c>
      <c r="H85" s="143" t="s">
        <v>82</v>
      </c>
      <c r="I85" s="211" t="s">
        <v>103</v>
      </c>
      <c r="J85" s="209">
        <f t="shared" si="0"/>
        <v>24808.18</v>
      </c>
    </row>
    <row r="86" spans="2:10">
      <c r="B86" s="141">
        <v>47</v>
      </c>
      <c r="C86" s="143">
        <v>14800.35</v>
      </c>
      <c r="D86" s="143">
        <v>0</v>
      </c>
      <c r="E86" s="143">
        <v>740.01</v>
      </c>
      <c r="F86" s="143">
        <v>1787.14</v>
      </c>
      <c r="G86" s="143">
        <f>C86+D86+E86+F86</f>
        <v>17327.5</v>
      </c>
      <c r="H86" s="143" t="s">
        <v>82</v>
      </c>
      <c r="I86" s="211" t="s">
        <v>104</v>
      </c>
      <c r="J86" s="209">
        <f t="shared" si="0"/>
        <v>17327.5</v>
      </c>
    </row>
    <row r="87" spans="2:10">
      <c r="B87" s="141">
        <v>54</v>
      </c>
      <c r="C87" s="143">
        <v>14800.35</v>
      </c>
      <c r="D87" s="143">
        <v>0</v>
      </c>
      <c r="E87" s="143">
        <v>2960.07</v>
      </c>
      <c r="F87" s="143">
        <v>2042.44</v>
      </c>
      <c r="G87" s="143">
        <f>C87+D87+E87+F87</f>
        <v>19802.86</v>
      </c>
      <c r="H87" s="143" t="s">
        <v>82</v>
      </c>
      <c r="I87" s="211" t="s">
        <v>105</v>
      </c>
      <c r="J87" s="209">
        <f t="shared" si="0"/>
        <v>19802.86</v>
      </c>
    </row>
    <row r="88" spans="2:10">
      <c r="B88" s="141">
        <v>15</v>
      </c>
      <c r="C88" s="143">
        <v>251.66</v>
      </c>
      <c r="D88" s="143">
        <v>0</v>
      </c>
      <c r="E88" s="143">
        <v>75.489999999999995</v>
      </c>
      <c r="F88" s="143">
        <v>37.619999999999997</v>
      </c>
      <c r="G88" s="143">
        <f>C88+D88+E88+F88</f>
        <v>364.77</v>
      </c>
      <c r="H88" s="143" t="s">
        <v>97</v>
      </c>
      <c r="I88" s="144"/>
      <c r="J88" s="207"/>
    </row>
    <row r="89" spans="2:10">
      <c r="B89" s="141">
        <v>16</v>
      </c>
      <c r="C89" s="143">
        <v>2973.39</v>
      </c>
      <c r="D89" s="143"/>
      <c r="E89" s="143">
        <v>892.01</v>
      </c>
      <c r="F89" s="143">
        <v>444.52</v>
      </c>
      <c r="G89" s="143">
        <f>C89+D89+E89+F89</f>
        <v>4309.92</v>
      </c>
      <c r="H89" s="143" t="s">
        <v>97</v>
      </c>
      <c r="I89" s="144"/>
      <c r="J89" s="207"/>
    </row>
    <row r="90" spans="2:10">
      <c r="B90" s="141">
        <v>33</v>
      </c>
      <c r="C90" s="143">
        <v>2681.93</v>
      </c>
      <c r="D90" s="143">
        <v>0</v>
      </c>
      <c r="E90" s="143">
        <v>268.19</v>
      </c>
      <c r="F90" s="143">
        <v>339.26</v>
      </c>
      <c r="G90" s="143">
        <f>C90+D90+E90+F90</f>
        <v>3289.38</v>
      </c>
      <c r="H90" s="143" t="s">
        <v>97</v>
      </c>
      <c r="I90" s="201"/>
      <c r="J90" s="207"/>
    </row>
    <row r="91" spans="2:10">
      <c r="B91" s="141">
        <v>45</v>
      </c>
      <c r="C91" s="143">
        <v>11346.92</v>
      </c>
      <c r="D91" s="143">
        <v>0</v>
      </c>
      <c r="E91" s="143">
        <v>1134.69</v>
      </c>
      <c r="F91" s="143">
        <v>1435.38</v>
      </c>
      <c r="G91" s="143">
        <f>C91+D91+E91+F91</f>
        <v>13916.990000000002</v>
      </c>
      <c r="H91" s="143" t="s">
        <v>97</v>
      </c>
      <c r="I91" s="201"/>
      <c r="J91" s="207"/>
    </row>
    <row r="92" spans="2:10">
      <c r="B92" s="141">
        <v>81</v>
      </c>
      <c r="C92" s="142">
        <v>4317.1099999999997</v>
      </c>
      <c r="D92" s="143">
        <v>0</v>
      </c>
      <c r="E92" s="142">
        <v>431.71</v>
      </c>
      <c r="F92" s="142">
        <v>546.11</v>
      </c>
      <c r="G92" s="143">
        <f>C92+D92+E92+F92</f>
        <v>5294.9299999999994</v>
      </c>
      <c r="H92" s="143" t="s">
        <v>97</v>
      </c>
      <c r="I92" s="201"/>
      <c r="J92" s="213">
        <f>G88+G89+G90+G91+G92</f>
        <v>27175.99</v>
      </c>
    </row>
    <row r="93" spans="2:10" ht="15.75" thickBot="1">
      <c r="B93" s="145"/>
      <c r="C93" s="202">
        <f>SUM(C3:C92)</f>
        <v>940401.88000000024</v>
      </c>
      <c r="D93" s="202">
        <f>SUM(D3:D92)</f>
        <v>10340.120000000001</v>
      </c>
      <c r="E93" s="202">
        <f>SUM(E3:E92)</f>
        <v>139115.01</v>
      </c>
      <c r="F93" s="202">
        <f>SUM(F3:F92)</f>
        <v>93297.88</v>
      </c>
      <c r="G93" s="202">
        <f>SUM(G3:G92)</f>
        <v>1183154.8899999994</v>
      </c>
      <c r="H93" s="203"/>
      <c r="I93" s="204"/>
      <c r="J93" s="212">
        <f ca="1">SUM(J3:J93)</f>
        <v>1183154.8899999999</v>
      </c>
    </row>
  </sheetData>
  <autoFilter ref="B2:I93">
    <sortState ref="B3:I93">
      <sortCondition ref="H2:H93"/>
    </sortState>
  </autoFilter>
  <pageMargins left="0.33" right="0.2" top="0.75" bottom="0.75" header="0.3" footer="0.3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Sheet9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D E L L</cp:lastModifiedBy>
  <cp:lastPrinted>2020-03-30T11:49:13Z</cp:lastPrinted>
  <dcterms:created xsi:type="dcterms:W3CDTF">2020-03-24T04:27:09Z</dcterms:created>
  <dcterms:modified xsi:type="dcterms:W3CDTF">2020-03-30T11:52:31Z</dcterms:modified>
</cp:coreProperties>
</file>